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urse Schedule" sheetId="3" state="visible" r:id="rId3"/>
    <sheet xmlns:r="http://schemas.openxmlformats.org/officeDocument/2006/relationships" name="Dog Value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Upgrades" sheetId="6" state="visible" r:id="rId6"/>
    <sheet xmlns:r="http://schemas.openxmlformats.org/officeDocument/2006/relationships" name="Betting" sheetId="7" state="visible" r:id="rId7"/>
    <sheet xmlns:r="http://schemas.openxmlformats.org/officeDocument/2006/relationships" name="Sim Result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\x"/>
    <numFmt numFmtId="165" formatCode="#,##0;\(#,##0\);\-"/>
    <numFmt numFmtId="166" formatCode="0.0"/>
    <numFmt numFmtId="167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3E5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E5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43" min="1" max="1"/>
  </cols>
  <sheetData>
    <row r="1" ht="17.35" customHeight="1" s="44">
      <c r="A1" s="45" t="inlineStr">
        <is>
          <t>Space Dog Racing — Economy Balance Model</t>
        </is>
      </c>
    </row>
    <row r="2" ht="15" customHeight="1" s="44">
      <c r="A2" s="46" t="n"/>
    </row>
    <row r="3" ht="15" customHeight="1" s="44">
      <c r="A3" s="46" t="inlineStr">
        <is>
          <t>Purpose: tune the 13-week season economy BEFORE any code exists. Every number the game engine needs lives on the Assumptions sheet.</t>
        </is>
      </c>
    </row>
    <row r="4" ht="15" customHeight="1" s="44">
      <c r="A4" s="46" t="inlineStr">
        <is>
          <t>Change a blue cell and every other sheet recalculates.</t>
        </is>
      </c>
    </row>
    <row r="5" ht="15" customHeight="1" s="44">
      <c r="A5" s="46" t="n"/>
    </row>
    <row r="6" ht="15" customHeight="1" s="44">
      <c r="A6" s="47" t="inlineStr">
        <is>
          <t>Legend</t>
        </is>
      </c>
    </row>
    <row r="7" ht="15" customHeight="1" s="44">
      <c r="A7" s="48" t="inlineStr">
        <is>
          <t xml:space="preserve">  Blue text = hardcoded input / design lever (edit these).</t>
        </is>
      </c>
    </row>
    <row r="8" ht="15" customHeight="1" s="44">
      <c r="A8" s="46" t="inlineStr">
        <is>
          <t xml:space="preserve">  Black text = formula (do not edit).</t>
        </is>
      </c>
    </row>
    <row r="9" ht="15" customHeight="1" s="44">
      <c r="A9" s="49" t="inlineStr">
        <is>
          <t xml:space="preserve">  Green text = link to another sheet.</t>
        </is>
      </c>
    </row>
    <row r="10" ht="15" customHeight="1" s="44">
      <c r="A10" s="46" t="inlineStr">
        <is>
          <t xml:space="preserve">  Yellow fill = key assumptions worth revisiting after playtesting.</t>
        </is>
      </c>
    </row>
    <row r="11" ht="15" customHeight="1" s="44">
      <c r="A11" s="46" t="n"/>
    </row>
    <row r="12" ht="15" customHeight="1" s="44">
      <c r="A12" s="47" t="inlineStr">
        <is>
          <t>Sheets</t>
        </is>
      </c>
    </row>
    <row r="13" ht="15" customHeight="1" s="44">
      <c r="A13" s="46" t="inlineStr">
        <is>
          <t xml:space="preserve">  Assumptions — all tunables: purses, Major multipliers, costs, dog valuation, food trade, betting margin, starting position.</t>
        </is>
      </c>
    </row>
    <row r="14" ht="15" customHeight="1" s="44">
      <c r="A14" s="46" t="inlineStr">
        <is>
          <t xml:space="preserve">  Purse Schedule — the 13-week calendar of prize money by class, with Majors on weeks 4, 7, 10 and 13.</t>
        </is>
      </c>
    </row>
    <row r="15" ht="15" customHeight="1" s="44">
      <c r="A15" s="46" t="inlineStr">
        <is>
          <t xml:space="preserve">  Dog Value — rating → market value table by age; the formula behind end-of-season net worth.</t>
        </is>
      </c>
    </row>
    <row r="16" ht="15" customHeight="1" s="44">
      <c r="A16" s="46" t="inlineStr">
        <is>
          <t xml:space="preserve">  Cashflow — week-by-week P&amp;L for three archetype stables (Cautious, Average, Aggressive) to check growth curve and bankruptcy risk.</t>
        </is>
      </c>
    </row>
    <row r="17" ht="15" customHeight="1" s="44">
      <c r="A17" s="46" t="inlineStr">
        <is>
          <t xml:space="preserve">  Upgrades — cost, weekly benefit and payback for every purchasable item; the "last sensible week to buy" column drives shop design.</t>
        </is>
      </c>
    </row>
    <row r="18" ht="15" customHeight="1" s="44">
      <c r="A18" s="46" t="inlineStr">
        <is>
          <t xml:space="preserve">  Betting — win probability → odds with house margin, plus the expected value of a bet at each probability.</t>
        </is>
      </c>
    </row>
    <row r="19" ht="15" customHeight="1" s="44">
      <c r="A19" s="46" t="inlineStr">
        <is>
          <t xml:space="preserve">  Sim Results — outputs of a 200-season Monte Carlo (Python, sim.py) used to seed the defaults. Hardcoded snapshot, not formulas.</t>
        </is>
      </c>
    </row>
    <row r="20" ht="15" customHeight="1" s="44">
      <c r="A20" s="46" t="n"/>
    </row>
    <row r="21" ht="15" customHeight="1" s="44">
      <c r="A21" s="47" t="inlineStr">
        <is>
          <t>Design targets baked into the defaults</t>
        </is>
      </c>
    </row>
    <row r="22" ht="15" customHeight="1" s="44">
      <c r="A22" s="46" t="inlineStr">
        <is>
          <t xml:space="preserve">  • Starting net worth ≈ 20–25k Bones; a competent human finishes at 60–100k; the best AI on Hard should reach ~120k.</t>
        </is>
      </c>
    </row>
    <row r="23" ht="15" customHeight="1" s="44">
      <c r="A23" s="46" t="inlineStr">
        <is>
          <t xml:space="preserve">  • Prize money is the main income; food trading is a 10–25% supplement; betting is high-variance, roughly zero EV before information advantages.</t>
        </is>
      </c>
    </row>
    <row r="24" ht="15" customHeight="1" s="44">
      <c r="A24" s="46" t="inlineStr">
        <is>
          <t xml:space="preserve">  • Every upgrade must pay for itself within 4–5 weeks or nobody will buy it after week 8.</t>
        </is>
      </c>
    </row>
    <row r="25" ht="15" customHeight="1" s="44">
      <c r="A25" s="46" t="inlineStr">
        <is>
          <t xml:space="preserve">  • Weekly running costs should be 25–40% of an average stable's weekly prize income so a bad fortnight hurts but does not end the game.</t>
        </is>
      </c>
    </row>
    <row r="26" ht="15" customHeight="1" s="44">
      <c r="A26" s="46" t="n"/>
    </row>
    <row r="27" ht="15" customHeight="1" s="44">
      <c r="A27" s="46" t="inlineStr">
        <is>
          <t>Source: all figures are design assumptions proposed by Claude for Jesse's game (Sept 2026) — none are external data.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9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43" min="1" max="1"/>
    <col width="16" customWidth="1" style="43" min="2" max="2"/>
    <col width="60" customWidth="1" style="43" min="3" max="3"/>
    <col width="14" customWidth="1" style="43" min="4" max="4"/>
  </cols>
  <sheetData>
    <row r="1" ht="17.35" customHeight="1" s="44">
      <c r="A1" s="45" t="inlineStr">
        <is>
          <t>Assumptions (edit blue cells)</t>
        </is>
      </c>
      <c r="B1" s="50" t="n"/>
      <c r="C1" s="50" t="n"/>
      <c r="D1" s="50" t="n"/>
    </row>
    <row r="2" ht="15" customHeight="1" s="44">
      <c r="A2" s="50" t="n"/>
      <c r="B2" s="50" t="n"/>
      <c r="C2" s="50" t="n"/>
      <c r="D2" s="50" t="n"/>
    </row>
    <row r="3" ht="15" customHeight="1" s="44">
      <c r="A3" s="47" t="inlineStr">
        <is>
          <t>Currency &amp; season</t>
        </is>
      </c>
      <c r="B3" s="50" t="n"/>
      <c r="C3" s="50" t="n"/>
      <c r="D3" s="50" t="n"/>
    </row>
    <row r="4" ht="15" customHeight="1" s="44">
      <c r="A4" s="46" t="inlineStr">
        <is>
          <t>Currency name</t>
        </is>
      </c>
      <c r="B4" s="51" t="inlineStr">
        <is>
          <t>Bones</t>
        </is>
      </c>
      <c r="C4" s="52" t="inlineStr">
        <is>
          <t>Flavour only</t>
        </is>
      </c>
      <c r="D4" s="50" t="n"/>
    </row>
    <row r="5" ht="15" customHeight="1" s="44">
      <c r="A5" s="46" t="inlineStr">
        <is>
          <t>Race weekends per season</t>
        </is>
      </c>
      <c r="B5" s="53" t="n">
        <v>13</v>
      </c>
      <c r="C5" s="52" t="inlineStr">
        <is>
          <t>Fixed by design</t>
        </is>
      </c>
      <c r="D5" s="50" t="n"/>
    </row>
    <row r="6" ht="15" customHeight="1" s="44">
      <c r="A6" s="46" t="inlineStr">
        <is>
          <t>Traps (runners) per race</t>
        </is>
      </c>
      <c r="B6" s="53" t="n">
        <v>8</v>
      </c>
      <c r="C6" s="52" t="inlineStr">
        <is>
          <t>Empty traps are filled with local "planet" dogs</t>
        </is>
      </c>
      <c r="D6" s="50" t="n"/>
    </row>
    <row r="7" ht="15" customHeight="1" s="44">
      <c r="A7" s="46" t="inlineStr">
        <is>
          <t>Major purse multiplier (weeks 4, 7, 10)</t>
        </is>
      </c>
      <c r="B7" s="54" t="n">
        <v>2</v>
      </c>
      <c r="C7" s="52" t="inlineStr">
        <is>
          <t>Golf-style Majors; lowered from 2.5 in the M4 pass (GDD §20 Q2)</t>
        </is>
      </c>
      <c r="D7" s="50" t="n"/>
    </row>
    <row r="8" ht="15" customHeight="1" s="44">
      <c r="A8" s="46" t="inlineStr">
        <is>
          <t>Grand Final purse multiplier (week 13)</t>
        </is>
      </c>
      <c r="B8" s="54" t="n">
        <v>3.5</v>
      </c>
      <c r="C8" s="52" t="inlineStr">
        <is>
          <t>Season finale, biggest payday; lowered from 4 in the M4 pass (GDD §20 Q2)</t>
        </is>
      </c>
      <c r="D8" s="50" t="n"/>
    </row>
    <row r="9" ht="15" customHeight="1" s="44">
      <c r="A9" s="47" t="inlineStr">
        <is>
          <t>Weekend purses (1st / 2nd / 3rd) — GDD §6.4</t>
        </is>
      </c>
      <c r="B9" s="50" t="n"/>
      <c r="C9" s="50" t="inlineStr">
        <is>
          <t>The Open plus two drawn types (D2). Landed at the old pool: the Open takes the old Gold and each drawn race the mean of the old Bronze and Silver, so the card could be measured before the cut was sized</t>
        </is>
      </c>
      <c r="D9" s="50" t="n"/>
    </row>
    <row r="10" ht="15" customHeight="1" s="44">
      <c r="A10" s="46" t="inlineStr">
        <is>
          <t>The Open 1st</t>
        </is>
      </c>
      <c r="B10" s="55" t="n">
        <v>5800</v>
      </c>
      <c r="C10" s="52" t="n"/>
      <c r="D10" s="50" t="n"/>
    </row>
    <row r="11" ht="15" customHeight="1" s="44">
      <c r="A11" s="46" t="inlineStr">
        <is>
          <t>The Open 2nd</t>
        </is>
      </c>
      <c r="B11" s="55" t="n">
        <v>2900</v>
      </c>
      <c r="C11" s="52" t="n"/>
      <c r="D11" s="50" t="n"/>
    </row>
    <row r="12" ht="15" customHeight="1" s="44">
      <c r="A12" s="46" t="inlineStr">
        <is>
          <t>The Open 3rd</t>
        </is>
      </c>
      <c r="B12" s="55" t="n">
        <v>1450</v>
      </c>
      <c r="C12" s="52" t="n"/>
      <c r="D12" s="50" t="n"/>
    </row>
    <row r="13" ht="15" customHeight="1" s="44">
      <c r="A13" s="46" t="inlineStr">
        <is>
          <t>Drawn race 1st</t>
        </is>
      </c>
      <c r="B13" s="55" t="n">
        <v>2600</v>
      </c>
      <c r="C13" s="52" t="n"/>
      <c r="D13" s="50" t="n"/>
    </row>
    <row r="14" ht="15" customHeight="1" s="44">
      <c r="A14" s="46" t="inlineStr">
        <is>
          <t>Drawn race 2nd</t>
        </is>
      </c>
      <c r="B14" s="55" t="n">
        <v>1300</v>
      </c>
      <c r="C14" s="52" t="n"/>
      <c r="D14" s="50" t="n"/>
    </row>
    <row r="15" ht="15" customHeight="1" s="44">
      <c r="A15" s="46" t="inlineStr">
        <is>
          <t>Drawn race 3rd</t>
        </is>
      </c>
      <c r="B15" s="55" t="n">
        <v>650</v>
      </c>
      <c r="C15" s="52" t="n"/>
      <c r="D15" s="50" t="n"/>
    </row>
    <row r="16" ht="15" customHeight="1" s="44">
      <c r="A16" s="46" t="inlineStr">
        <is>
          <t>Race card entry criteria (GDD §6.3)</t>
        </is>
      </c>
      <c r="B16" s="56" t="n"/>
      <c r="C16" s="52" t="inlineStr">
        <is>
          <t>Five of the seven types gate on a fact a player cannot suppress — age, wins, runs, last week. These two are the posted numbers</t>
        </is>
      </c>
      <c r="D16" s="50" t="n"/>
    </row>
    <row r="17" ht="15" customHeight="1" s="44">
      <c r="A17" s="46" t="inlineStr">
        <is>
          <t>Handicap: max rating</t>
        </is>
      </c>
      <c r="B17" s="55" t="n">
        <v>45</v>
      </c>
      <c r="C17" s="52" t="inlineStr">
        <is>
          <t>A dog rated above this cannot drop into the Handicap. 55 was measured and rejected: cardCoverage 97.5% made it a race every stable could always fill, which asks nothing</t>
        </is>
      </c>
      <c r="D17" s="50" t="n"/>
    </row>
    <row r="18" ht="15" customHeight="1" s="44">
      <c r="A18" s="46" t="inlineStr">
        <is>
          <t>Invitational: min rating</t>
        </is>
      </c>
      <c r="B18" s="55" t="n">
        <v>48</v>
      </c>
      <c r="C18" s="52" t="inlineStr">
        <is>
          <t>The good-dogs race. At 55 only 12.5% of stable-weekends had a qualifying fit dog and players took 1.2% of its entries — a race the locals owned. 48 lifts coverage to 46%</t>
        </is>
      </c>
      <c r="D18" s="50" t="n"/>
    </row>
    <row r="19" ht="15" customHeight="1" s="44">
      <c r="A19" s="47" t="n"/>
      <c r="B19" s="50" t="n"/>
      <c r="C19" s="50" t="n"/>
      <c r="D19" s="50" t="n"/>
    </row>
    <row r="20" ht="15" customHeight="1" s="44">
      <c r="A20" s="46" t="n"/>
      <c r="B20" s="57" t="n"/>
      <c r="C20" s="52" t="n"/>
      <c r="D20" s="50" t="n"/>
    </row>
    <row r="21" ht="15" customHeight="1" s="44">
      <c r="A21" s="46" t="n"/>
      <c r="B21" s="57" t="n"/>
      <c r="C21" s="52" t="n"/>
      <c r="D21" s="50" t="n"/>
    </row>
    <row r="22" ht="15" customHeight="1" s="44">
      <c r="A22" s="47" t="inlineStr">
        <is>
          <t>Weekly running costs</t>
        </is>
      </c>
      <c r="B22" s="50" t="n"/>
      <c r="C22" s="50" t="n"/>
      <c r="D22" s="50" t="n"/>
    </row>
    <row r="23" ht="15" customHeight="1" s="44">
      <c r="A23" s="46" t="inlineStr">
        <is>
          <t>Kennel upkeep per dog</t>
        </is>
      </c>
      <c r="B23" s="55" t="n">
        <v>150</v>
      </c>
      <c r="C23" s="52" t="inlineStr">
        <is>
          <t>Charged for every dog owned, racing or reserve</t>
        </is>
      </c>
      <c r="D23" s="50" t="n"/>
    </row>
    <row r="24" ht="15" customHeight="1" s="44">
      <c r="A24" s="46" t="inlineStr">
        <is>
          <t>Food units eaten per dog per week</t>
        </is>
      </c>
      <c r="B24" s="58" t="n">
        <v>1</v>
      </c>
      <c r="C24" s="52" t="inlineStr">
        <is>
          <t>Consumed from ship cargo; if none, buy at local price</t>
        </is>
      </c>
      <c r="D24" s="50" t="n"/>
    </row>
    <row r="25" ht="15" customHeight="1" s="44">
      <c r="A25" s="46" t="inlineStr">
        <is>
          <t>Ship fuel per jump (base)</t>
        </is>
      </c>
      <c r="B25" s="55" t="n">
        <v>250</v>
      </c>
      <c r="C25" s="52" t="inlineStr">
        <is>
          <t>Scaled by cargo weight in-engine</t>
        </is>
      </c>
      <c r="D25" s="50" t="n"/>
    </row>
    <row r="26" ht="15" customHeight="1" s="44">
      <c r="A26" s="46" t="inlineStr">
        <is>
          <t>Trainer wage per week</t>
        </is>
      </c>
      <c r="B26" s="55" t="n">
        <v>400</v>
      </c>
      <c r="C26" s="52" t="inlineStr">
        <is>
          <t>+ stat growth, see Upgrades</t>
        </is>
      </c>
      <c r="D26" s="50" t="n"/>
    </row>
    <row r="27" ht="15" customHeight="1" s="44">
      <c r="A27" s="46" t="inlineStr">
        <is>
          <t>Vet wage per week</t>
        </is>
      </c>
      <c r="B27" s="55" t="n">
        <v>300</v>
      </c>
      <c r="C27" s="52" t="inlineStr">
        <is>
          <t>Halves injury duration, faster fitness recovery</t>
        </is>
      </c>
      <c r="D27" s="50" t="n"/>
    </row>
    <row r="28" ht="15" customHeight="1" s="44">
      <c r="A28" s="47" t="inlineStr">
        <is>
          <t>Food trading</t>
        </is>
      </c>
      <c r="B28" s="50" t="n"/>
      <c r="C28" s="50" t="n"/>
      <c r="D28" s="50" t="n"/>
    </row>
    <row r="29" ht="15" customHeight="1" s="44">
      <c r="A29" s="46" t="inlineStr">
        <is>
          <t>Food price: cheapest planet</t>
        </is>
      </c>
      <c r="B29" s="55" t="n">
        <v>40</v>
      </c>
      <c r="C29" s="52" t="inlineStr">
        <is>
          <t>Farming worlds</t>
        </is>
      </c>
      <c r="D29" s="50" t="n"/>
    </row>
    <row r="30" ht="15" customHeight="1" s="44">
      <c r="A30" s="46" t="inlineStr">
        <is>
          <t>Food price: dearest planet</t>
        </is>
      </c>
      <c r="B30" s="55" t="n">
        <v>140</v>
      </c>
      <c r="C30" s="52" t="inlineStr">
        <is>
          <t>Mining / casino worlds</t>
        </is>
      </c>
      <c r="D30" s="50" t="n"/>
    </row>
    <row r="31" ht="15" customHeight="1" s="44">
      <c r="A31" s="46" t="inlineStr">
        <is>
          <t>Typical realised margin per unit</t>
        </is>
      </c>
      <c r="B31" s="56" t="n">
        <v>45</v>
      </c>
      <c r="C31" s="52" t="inlineStr">
        <is>
          <t>Assumes you cannot always hit best pairs; buy/sell spread eats some</t>
        </is>
      </c>
      <c r="D31" s="50" t="n"/>
    </row>
    <row r="32" ht="15" customHeight="1" s="44">
      <c r="A32" s="46" t="inlineStr">
        <is>
          <t>Starting cargo capacity (units)</t>
        </is>
      </c>
      <c r="B32" s="53" t="n">
        <v>20</v>
      </c>
      <c r="C32" s="52" t="n"/>
      <c r="D32" s="50" t="n"/>
    </row>
    <row r="33" ht="15" customHeight="1" s="44">
      <c r="A33" s="46" t="inlineStr">
        <is>
          <t>Cargo hold upgrade (+units)</t>
        </is>
      </c>
      <c r="B33" s="53" t="n">
        <v>20</v>
      </c>
      <c r="C33" s="52" t="n"/>
      <c r="D33" s="50" t="n"/>
    </row>
    <row r="34" ht="15" customHeight="1" s="44">
      <c r="A34" s="47" t="inlineStr">
        <is>
          <t>Starting position</t>
        </is>
      </c>
      <c r="B34" s="50" t="n"/>
      <c r="C34" s="50" t="n"/>
      <c r="D34" s="50" t="n"/>
    </row>
    <row r="35" ht="15" customHeight="1" s="44">
      <c r="A35" s="46" t="inlineStr">
        <is>
          <t>Starting cash</t>
        </is>
      </c>
      <c r="B35" s="56" t="n">
        <v>6000</v>
      </c>
      <c r="C35" s="52" t="n"/>
      <c r="D35" s="50" t="n"/>
    </row>
    <row r="36" ht="15" customHeight="1" s="44">
      <c r="A36" s="46" t="inlineStr">
        <is>
          <t>Starting dogs</t>
        </is>
      </c>
      <c r="B36" s="53" t="n">
        <v>3</v>
      </c>
      <c r="C36" s="52" t="inlineStr">
        <is>
          <t>Ratings roughly 38–48</t>
        </is>
      </c>
      <c r="D36" s="50" t="n"/>
    </row>
    <row r="37" ht="15" customHeight="1" s="44">
      <c r="A37" s="46" t="inlineStr">
        <is>
          <t>Average starting dog rating</t>
        </is>
      </c>
      <c r="B37" s="53" t="n">
        <v>43</v>
      </c>
      <c r="C37" s="52" t="n"/>
      <c r="D37" s="50" t="n"/>
    </row>
    <row r="38" ht="15" customHeight="1" s="44">
      <c r="A38" s="46" t="inlineStr">
        <is>
          <t>Starting ship value</t>
        </is>
      </c>
      <c r="B38" s="55" t="n">
        <v>3000</v>
      </c>
      <c r="C38" s="52" t="n"/>
      <c r="D38" s="50" t="n"/>
    </row>
    <row r="39" ht="15" customHeight="1" s="44">
      <c r="A39" s="47" t="inlineStr">
        <is>
          <t>Dog valuation  value = (a + b × rating²) × age factor</t>
        </is>
      </c>
      <c r="B39" s="50" t="n"/>
      <c r="C39" s="50" t="n"/>
      <c r="D39" s="50" t="n"/>
    </row>
    <row r="40" ht="15" customHeight="1" s="44">
      <c r="A40" s="46" t="inlineStr">
        <is>
          <t>a (floor)</t>
        </is>
      </c>
      <c r="B40" s="55" t="n">
        <v>400</v>
      </c>
      <c r="C40" s="52" t="n"/>
      <c r="D40" s="50" t="n"/>
    </row>
    <row r="41" ht="15" customHeight="1" s="44">
      <c r="A41" s="46" t="inlineStr">
        <is>
          <t>b (curve)</t>
        </is>
      </c>
      <c r="B41" s="59" t="n">
        <v>2.2</v>
      </c>
      <c r="C41" s="52" t="inlineStr">
        <is>
          <t>Quadratic so elite dogs are worth far more than good ones</t>
        </is>
      </c>
      <c r="D41" s="50" t="n"/>
    </row>
    <row r="42" ht="15" customHeight="1" s="44">
      <c r="A42" s="46" t="inlineStr">
        <is>
          <t>Age factor: 1 (pup, high upside)</t>
        </is>
      </c>
      <c r="B42" s="60" t="n">
        <v>1.15</v>
      </c>
      <c r="C42" s="52" t="n"/>
      <c r="D42" s="50" t="n"/>
    </row>
    <row r="43" ht="15" customHeight="1" s="44">
      <c r="A43" s="46" t="inlineStr">
        <is>
          <t>Age factor: 2</t>
        </is>
      </c>
      <c r="B43" s="60" t="n">
        <v>1.1</v>
      </c>
      <c r="C43" s="52" t="n"/>
      <c r="D43" s="50" t="n"/>
    </row>
    <row r="44" ht="15" customHeight="1" s="44">
      <c r="A44" s="46" t="inlineStr">
        <is>
          <t>Age factor: 3 (peak)</t>
        </is>
      </c>
      <c r="B44" s="60" t="n">
        <v>1</v>
      </c>
      <c r="C44" s="52" t="n"/>
      <c r="D44" s="50" t="n"/>
    </row>
    <row r="45" ht="15" customHeight="1" s="44">
      <c r="A45" s="46" t="inlineStr">
        <is>
          <t>Age factor: 4</t>
        </is>
      </c>
      <c r="B45" s="60" t="n">
        <v>0.85</v>
      </c>
      <c r="C45" s="52" t="n"/>
      <c r="D45" s="50" t="n"/>
    </row>
    <row r="46" ht="15" customHeight="1" s="44">
      <c r="A46" s="46" t="inlineStr">
        <is>
          <t>Age factor: 5 (declining)</t>
        </is>
      </c>
      <c r="B46" s="60" t="n">
        <v>0.65</v>
      </c>
      <c r="C46" s="52" t="n"/>
      <c r="D46" s="50" t="n"/>
    </row>
    <row r="47" ht="15" customHeight="1" s="44">
      <c r="A47" s="46" t="inlineStr">
        <is>
          <t>Age factor: 6+ (retire soon)</t>
        </is>
      </c>
      <c r="B47" s="60" t="n">
        <v>0.45</v>
      </c>
      <c r="C47" s="52" t="n"/>
      <c r="D47" s="50" t="n"/>
    </row>
    <row r="48" ht="15" customHeight="1" s="44">
      <c r="A48" s="47" t="inlineStr">
        <is>
          <t>Betting</t>
        </is>
      </c>
      <c r="B48" s="50" t="n"/>
      <c r="C48" s="50" t="n"/>
      <c r="D48" s="50" t="n"/>
    </row>
    <row r="49" ht="15" customHeight="1" s="44">
      <c r="A49" s="46" t="inlineStr">
        <is>
          <t>House margin (overround)</t>
        </is>
      </c>
      <c r="B49" s="61" t="n">
        <v>0.15</v>
      </c>
      <c r="C49" s="52" t="inlineStr">
        <is>
          <t>Odds = (1 − margin) ÷ win probability</t>
        </is>
      </c>
      <c r="D49" s="50" t="n"/>
    </row>
    <row r="50" ht="15" customHeight="1" s="44">
      <c r="A50" s="46" t="inlineStr">
        <is>
          <t>Max stake per race (% of cash)</t>
        </is>
      </c>
      <c r="B50" s="62" t="n">
        <v>0.5</v>
      </c>
      <c r="C50" s="52" t="inlineStr">
        <is>
          <t>Stops all-in swings ending the game on week 2</t>
        </is>
      </c>
      <c r="D50" s="50" t="n"/>
    </row>
    <row r="51" ht="15" customHeight="1" s="44">
      <c r="A51" s="47" t="inlineStr">
        <is>
          <t>Archetype finish-share assumptions (Cashflow sheet)</t>
        </is>
      </c>
      <c r="B51" s="50" t="n"/>
      <c r="C51" s="50" t="n"/>
      <c r="D51" s="50" t="n"/>
    </row>
    <row r="52" ht="15" customHeight="1" s="44">
      <c r="A52" s="52" t="inlineStr">
        <is>
          <t>Expected share of each class's total purse a stable captures per weekend (0 = never places, 1 = wins everything).</t>
        </is>
      </c>
      <c r="B52" s="50" t="n"/>
      <c r="C52" s="50" t="n"/>
      <c r="D52" s="50" t="n"/>
    </row>
    <row r="53" ht="15" customHeight="1" s="44">
      <c r="A53" s="63" t="inlineStr">
        <is>
          <t>Archetype</t>
        </is>
      </c>
      <c r="B53" s="63" t="inlineStr">
        <is>
          <t>Bronze share</t>
        </is>
      </c>
      <c r="C53" s="63" t="inlineStr">
        <is>
          <t>Silver share</t>
        </is>
      </c>
      <c r="D53" s="63" t="inlineStr">
        <is>
          <t>Gold share</t>
        </is>
      </c>
    </row>
    <row r="54" ht="15" customHeight="1" s="44">
      <c r="A54" s="46" t="inlineStr">
        <is>
          <t>Cautious</t>
        </is>
      </c>
      <c r="B54" s="62" t="n">
        <v>0.3</v>
      </c>
      <c r="C54" s="62" t="n">
        <v>0.15</v>
      </c>
      <c r="D54" s="62" t="n">
        <v>0.05</v>
      </c>
    </row>
    <row r="55" ht="15" customHeight="1" s="44">
      <c r="A55" s="46" t="inlineStr">
        <is>
          <t>Average</t>
        </is>
      </c>
      <c r="B55" s="62" t="n">
        <v>0.18</v>
      </c>
      <c r="C55" s="62" t="n">
        <v>0.15</v>
      </c>
      <c r="D55" s="62" t="n">
        <v>0.12</v>
      </c>
    </row>
    <row r="56" ht="15" customHeight="1" s="44">
      <c r="A56" s="46" t="inlineStr">
        <is>
          <t>Aggressive</t>
        </is>
      </c>
      <c r="B56" s="62" t="n">
        <v>0.08</v>
      </c>
      <c r="C56" s="62" t="n">
        <v>0.15</v>
      </c>
      <c r="D56" s="62" t="n">
        <v>0.2</v>
      </c>
    </row>
    <row r="57" ht="15" customHeight="1" s="44">
      <c r="A57" s="52" t="inlineStr">
        <is>
          <t>Rule of thumb: a fair 8-dog field gives each stable 12.5% of the purse; a favourite ~25–35%; an outclassed dog ~3–5%.</t>
        </is>
      </c>
      <c r="B57" s="50" t="n"/>
      <c r="C57" s="50" t="n"/>
      <c r="D57" s="50" t="n"/>
    </row>
    <row r="59">
      <c r="A59" s="87" t="inlineStr">
        <is>
          <t>Race simulation (GDD §6.2 — the v2 rebalance, 11 September 2026)</t>
        </is>
      </c>
      <c r="C59" s="43" t="inlineStr">
        <is>
          <t>Rebalanced so all four stats matter: measured +10-to-one-stat win rates move from speed 28.8 / stam 16.7 / accel 14.4 / trap 14.0 to rating-weight order, and track length starts to matter at all. D12.</t>
        </is>
      </c>
    </row>
    <row r="60">
      <c r="A60" s="43" t="inlineStr">
        <is>
          <t>Race: base speed (m/s)</t>
        </is>
      </c>
      <c r="B60" s="43" t="n">
        <v>13.75</v>
      </c>
      <c r="C60" s="43" t="inlineStr">
        <is>
          <t>Was 13. The floor every dog runs at before its Speed stat</t>
        </is>
      </c>
    </row>
    <row r="61">
      <c r="A61" s="43" t="inlineStr">
        <is>
          <t>Race: speed coefficient (m/s per 100 Speed)</t>
        </is>
      </c>
      <c r="B61" s="43" t="n">
        <v>4.5</v>
      </c>
      <c r="C61" s="43" t="inlineStr">
        <is>
          <t>Was 6. Cutting this is what stops the race being a pure Speed contest</t>
        </is>
      </c>
    </row>
    <row r="62">
      <c r="A62" s="43" t="inlineStr">
        <is>
          <t>Race: fade penalty past the stamina point</t>
        </is>
      </c>
      <c r="B62" s="43" t="n">
        <v>0.5</v>
      </c>
      <c r="C62" s="43" t="inlineStr">
        <is>
          <t>Was 0.35. Makes Stamina the second-biggest stat, and biggest on a stayer</t>
        </is>
      </c>
    </row>
    <row r="63">
      <c r="A63" s="43" t="inlineStr">
        <is>
          <t>Race: acceleration base (m/s²)</t>
        </is>
      </c>
      <c r="B63" s="43" t="n">
        <v>2</v>
      </c>
      <c r="C63" s="43" t="inlineStr">
        <is>
          <t>Was 4. Less free acceleration, so the stat buys more</t>
        </is>
      </c>
    </row>
    <row r="64">
      <c r="A64" s="43" t="inlineStr">
        <is>
          <t>Race: acceleration coefficient (m/s² per 100 Accel)</t>
        </is>
      </c>
      <c r="B64" s="43" t="n">
        <v>5.5</v>
      </c>
      <c r="C64" s="43" t="inlineStr">
        <is>
          <t>Was 6. Accel now peaks on the 350 m sprints</t>
        </is>
      </c>
    </row>
    <row r="65">
      <c r="A65" s="43" t="inlineStr">
        <is>
          <t>Race: break from the boxes (metres at 100 Trap)</t>
        </is>
      </c>
      <c r="B65" s="43" t="n">
        <v>7</v>
      </c>
      <c r="C65" s="43" t="inlineStr">
        <is>
          <t>Was 3. Trap craft has to be worth something out of the gate</t>
        </is>
      </c>
    </row>
    <row r="66">
      <c r="A66" s="43" t="inlineStr">
        <is>
          <t>Race: bump chance on a bend</t>
        </is>
      </c>
      <c r="B66" s="43" t="n">
        <v>0.3</v>
      </c>
      <c r="C66" s="43" t="inlineStr">
        <is>
          <t>Was 0.10. The other half of what Trap buys</t>
        </is>
      </c>
    </row>
    <row r="67">
      <c r="A67" s="43" t="inlineStr">
        <is>
          <t>Race: bump speed penalty</t>
        </is>
      </c>
      <c r="B67" s="43" t="n">
        <v>0.3</v>
      </c>
      <c r="C67" s="43" t="inlineStr">
        <is>
          <t>Was 0.15</t>
        </is>
      </c>
    </row>
    <row r="68">
      <c r="A68" s="43" t="inlineStr">
        <is>
          <t>Race: bump distance (metres)</t>
        </is>
      </c>
      <c r="B68" s="43" t="n">
        <v>1.2</v>
      </c>
      <c r="C68" s="43" t="inlineStr">
        <is>
          <t>Was 0.6. Dogs this close on a bend may clash</t>
        </is>
      </c>
    </row>
    <row r="70">
      <c r="A70" s="87" t="inlineStr">
        <is>
          <t>Condition (GDD §5.2)</t>
        </is>
      </c>
    </row>
    <row r="71">
      <c r="A71" s="43" t="inlineStr">
        <is>
          <t>Fitness multiplier: floor</t>
        </is>
      </c>
      <c r="B71" s="43" t="n">
        <v>0.9</v>
      </c>
      <c r="C71" s="43" t="inlineStr">
        <is>
          <t>D13. Was 0.80: at equal ratings a dog at 60 fitness won 1.3% of its races, so the only usable range was 85-100 and nothing ever fell to the threshold</t>
        </is>
      </c>
    </row>
    <row r="72">
      <c r="A72" s="43" t="inlineStr">
        <is>
          <t>Fitness multiplier: range</t>
        </is>
      </c>
      <c r="B72" s="43" t="n">
        <v>0.1</v>
      </c>
      <c r="C72" s="43" t="inlineStr">
        <is>
          <t>D13. Was 0.20. Flattened, the curve reads from 40 to 100 and the weekly swings below can be big enough to see</t>
        </is>
      </c>
    </row>
    <row r="74">
      <c r="A74" s="87" t="inlineStr">
        <is>
          <t>Race, Train or Rest (GDD §5.7 — the weekly per-dog state)</t>
        </is>
      </c>
    </row>
    <row r="75">
      <c r="A75" s="43" t="inlineStr">
        <is>
          <t>Fitness: cost of a race</t>
        </is>
      </c>
      <c r="B75" s="43" t="n">
        <v>25</v>
      </c>
      <c r="C75" s="43" t="inlineStr">
        <is>
          <t>D13. Was 12. Two weeks racing in three holds station; three does not</t>
        </is>
      </c>
    </row>
    <row r="76">
      <c r="A76" s="43" t="inlineStr">
        <is>
          <t>Fitness: gain from a training week</t>
        </is>
      </c>
      <c r="B76" s="43" t="n">
        <v>8</v>
      </c>
      <c r="C76" s="43" t="inlineStr">
        <is>
          <t>A Train week is work, not a rest</t>
        </is>
      </c>
    </row>
    <row r="77">
      <c r="A77" s="43" t="inlineStr">
        <is>
          <t>Fitness: gain from a rest week</t>
        </is>
      </c>
      <c r="B77" s="43" t="n">
        <v>30</v>
      </c>
      <c r="C77" s="43" t="inlineStr">
        <is>
          <t>Layoff (injured or banned) recovers at this rate too</t>
        </is>
      </c>
    </row>
    <row r="78">
      <c r="A78" s="43" t="inlineStr">
        <is>
          <t>Fitness: gain from a rest week with a vet</t>
        </is>
      </c>
      <c r="B78" s="43" t="n">
        <v>40</v>
      </c>
      <c r="C78" s="43" t="inlineStr">
        <is>
          <t>GDD §8.3: the vet's bonus rides on Rest</t>
        </is>
      </c>
    </row>
    <row r="79">
      <c r="A79" s="43" t="inlineStr">
        <is>
          <t>Training: plain kibble, minimum stat points</t>
        </is>
      </c>
      <c r="B79" s="43" t="n">
        <v>1</v>
      </c>
      <c r="C79" s="43" t="inlineStr">
        <is>
          <t>GDD §8.2 placeholder until Phase C builds the feeds. A Train week on kibble alone</t>
        </is>
      </c>
    </row>
    <row r="80">
      <c r="A80" s="43" t="inlineStr">
        <is>
          <t>Training: plain kibble, maximum stat points</t>
        </is>
      </c>
      <c r="B80" s="43" t="n">
        <v>3</v>
      </c>
      <c r="C80" s="43" t="inlineStr">
        <is>
          <t>is the floor of improvement, +1-3 to one stat</t>
        </is>
      </c>
    </row>
    <row r="81">
      <c r="A81" s="87" t="inlineStr">
        <is>
          <t>Growth and decline by age (GDD §5.6 / D14)</t>
        </is>
      </c>
    </row>
    <row r="82">
      <c r="A82" s="43" t="inlineStr">
        <is>
          <t>Growth: stat points a week at age 1</t>
        </is>
      </c>
      <c r="B82" s="43" t="n">
        <v>2</v>
      </c>
      <c r="C82" s="43" t="inlineStr">
        <is>
          <t>Replaces v1's +1 every second week at any age up to 2. This is what makes a pup a pup</t>
        </is>
      </c>
    </row>
    <row r="83">
      <c r="A83" s="43" t="inlineStr">
        <is>
          <t>Growth: stat points a week at age 2</t>
        </is>
      </c>
      <c r="B83" s="43" t="n">
        <v>1</v>
      </c>
      <c r="C83" s="43" t="inlineStr">
        <is>
          <t>Ages 3 and 4 neither grow nor decline</t>
        </is>
      </c>
    </row>
    <row r="84">
      <c r="A84" s="43" t="inlineStr">
        <is>
          <t>Decline: stat points a week at age 5+</t>
        </is>
      </c>
      <c r="B84" s="43" t="n">
        <v>1</v>
      </c>
      <c r="C84" s="43" t="inlineStr">
        <is>
          <t>Subtracted, every week rather than every second</t>
        </is>
      </c>
    </row>
    <row r="85">
      <c r="A85" s="43" t="inlineStr">
        <is>
          <t>Kennel slots at the top ship tier</t>
        </is>
      </c>
      <c r="B85" s="43" t="n">
        <v>6</v>
      </c>
      <c r="C85" s="43" t="inlineStr">
        <is>
          <t>Was 5. Five dogs is what fills a 3-race card (§6.3)</t>
        </is>
      </c>
    </row>
    <row r="87">
      <c r="A87" s="87" t="inlineStr">
        <is>
          <t>Local dogs (GDD §6.1)</t>
        </is>
      </c>
    </row>
    <row r="88">
      <c r="A88" s="43" t="inlineStr">
        <is>
          <t>Local dog fitness</t>
        </is>
      </c>
      <c r="B88" s="43" t="n">
        <v>75</v>
      </c>
      <c r="C88" s="43" t="inlineStr">
        <is>
          <t>A planet's own runner turns up fresh but not perfect. v1 left locals on createDog's default 90, which cost nothing when campaigning stables raced at 96 and is a standing handicap now that §5.7 puts them at 60-80</t>
        </is>
      </c>
    </row>
    <row r="89">
      <c r="A89" s="43" t="inlineStr">
        <is>
          <t>Local dog rating: The Open</t>
        </is>
      </c>
      <c r="B89" s="43" t="n">
        <v>50</v>
      </c>
      <c r="C89" s="43" t="inlineStr">
        <is>
          <t>The headline race draws the strongest home team</t>
        </is>
      </c>
    </row>
    <row r="90">
      <c r="A90" s="43" t="inlineStr">
        <is>
          <t>Local dog rating: a drawn race</t>
        </is>
      </c>
      <c r="B90" s="43" t="n">
        <v>30</v>
      </c>
      <c r="C90" s="43" t="inlineStr">
        <is>
          <t>Mean of the old Bronze and Silver locals, to be re-fitted against the fill rate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3" min="1" max="1"/>
    <col width="12" customWidth="1" style="43" min="2" max="11"/>
    <col width="14" customWidth="1" style="43" min="12" max="12"/>
  </cols>
  <sheetData>
    <row r="1" ht="17.35" customHeight="1" s="44">
      <c r="A1" s="45" t="inlineStr">
        <is>
          <t>Purse Schedule — prize money on offer each weekend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</row>
    <row r="2" ht="15" customHeight="1" s="44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</row>
    <row r="3" ht="26.85" customHeight="1" s="44">
      <c r="A3" s="63" t="inlineStr">
        <is>
          <t>Week</t>
        </is>
      </c>
      <c r="B3" s="63" t="inlineStr">
        <is>
          <t>Event</t>
        </is>
      </c>
      <c r="C3" s="63" t="inlineStr">
        <is>
          <t>Multiplier</t>
        </is>
      </c>
      <c r="D3" s="63" t="inlineStr">
        <is>
          <t>Bronze 1st</t>
        </is>
      </c>
      <c r="E3" s="63" t="inlineStr">
        <is>
          <t>Bronze 2nd</t>
        </is>
      </c>
      <c r="F3" s="63" t="inlineStr">
        <is>
          <t>Bronze 3rd</t>
        </is>
      </c>
      <c r="G3" s="63" t="inlineStr">
        <is>
          <t>Silver 1st</t>
        </is>
      </c>
      <c r="H3" s="63" t="inlineStr">
        <is>
          <t>Silver 2nd</t>
        </is>
      </c>
      <c r="I3" s="63" t="inlineStr">
        <is>
          <t>Silver 3rd</t>
        </is>
      </c>
      <c r="J3" s="63" t="inlineStr">
        <is>
          <t>Gold 1st</t>
        </is>
      </c>
      <c r="K3" s="63" t="inlineStr">
        <is>
          <t>Gold 2nd</t>
        </is>
      </c>
      <c r="L3" s="63" t="inlineStr">
        <is>
          <t>Gold 3rd</t>
        </is>
      </c>
      <c r="M3" s="63" t="inlineStr">
        <is>
          <t>Total purse</t>
        </is>
      </c>
    </row>
    <row r="4" ht="15" customHeight="1" s="44">
      <c r="A4" s="64" t="n">
        <v>1</v>
      </c>
      <c r="B4" s="65" t="inlineStr">
        <is>
          <t>Regular</t>
        </is>
      </c>
      <c r="C4" s="66">
        <f>IF(B4="Grand Final",Assumptions!$B$8,IF(B4="Major",Assumptions!$B$7,1))</f>
        <v/>
      </c>
      <c r="D4" s="67">
        <f>Assumptions!$B$10*$C4</f>
        <v/>
      </c>
      <c r="E4" s="67">
        <f>Assumptions!$B$11*$C4</f>
        <v/>
      </c>
      <c r="F4" s="67">
        <f>Assumptions!$B$12*$C4</f>
        <v/>
      </c>
      <c r="G4" s="67">
        <f>Assumptions!$B$13*$C4</f>
        <v/>
      </c>
      <c r="H4" s="67">
        <f>Assumptions!$B$14*$C4</f>
        <v/>
      </c>
      <c r="I4" s="67">
        <f>Assumptions!$B$15*$C4</f>
        <v/>
      </c>
      <c r="J4" s="67">
        <f>Assumptions!$B$16*$C4</f>
        <v/>
      </c>
      <c r="K4" s="67">
        <f>Assumptions!$B$17*$C4</f>
        <v/>
      </c>
      <c r="L4" s="67">
        <f>Assumptions!$B$18*$C4</f>
        <v/>
      </c>
      <c r="M4" s="68">
        <f>SUM(D4:L4)</f>
        <v/>
      </c>
    </row>
    <row r="5" ht="15" customHeight="1" s="44">
      <c r="A5" s="69" t="n">
        <v>2</v>
      </c>
      <c r="B5" s="70" t="inlineStr">
        <is>
          <t>Regular</t>
        </is>
      </c>
      <c r="C5" s="71">
        <f>IF(B5="Grand Final",Assumptions!$B$8,IF(B5="Major",Assumptions!$B$7,1))</f>
        <v/>
      </c>
      <c r="D5" s="72">
        <f>Assumptions!$B$10*$C5</f>
        <v/>
      </c>
      <c r="E5" s="72">
        <f>Assumptions!$B$11*$C5</f>
        <v/>
      </c>
      <c r="F5" s="72">
        <f>Assumptions!$B$12*$C5</f>
        <v/>
      </c>
      <c r="G5" s="72">
        <f>Assumptions!$B$13*$C5</f>
        <v/>
      </c>
      <c r="H5" s="72">
        <f>Assumptions!$B$14*$C5</f>
        <v/>
      </c>
      <c r="I5" s="72">
        <f>Assumptions!$B$15*$C5</f>
        <v/>
      </c>
      <c r="J5" s="72">
        <f>Assumptions!$B$16*$C5</f>
        <v/>
      </c>
      <c r="K5" s="72">
        <f>Assumptions!$B$17*$C5</f>
        <v/>
      </c>
      <c r="L5" s="72">
        <f>Assumptions!$B$18*$C5</f>
        <v/>
      </c>
      <c r="M5" s="73">
        <f>SUM(D5:L5)</f>
        <v/>
      </c>
    </row>
    <row r="6" ht="15" customHeight="1" s="44">
      <c r="A6" s="64" t="n">
        <v>3</v>
      </c>
      <c r="B6" s="65" t="inlineStr">
        <is>
          <t>Regular</t>
        </is>
      </c>
      <c r="C6" s="66">
        <f>IF(B6="Grand Final",Assumptions!$B$8,IF(B6="Major",Assumptions!$B$7,1))</f>
        <v/>
      </c>
      <c r="D6" s="67">
        <f>Assumptions!$B$10*$C6</f>
        <v/>
      </c>
      <c r="E6" s="67">
        <f>Assumptions!$B$11*$C6</f>
        <v/>
      </c>
      <c r="F6" s="67">
        <f>Assumptions!$B$12*$C6</f>
        <v/>
      </c>
      <c r="G6" s="67">
        <f>Assumptions!$B$13*$C6</f>
        <v/>
      </c>
      <c r="H6" s="67">
        <f>Assumptions!$B$14*$C6</f>
        <v/>
      </c>
      <c r="I6" s="67">
        <f>Assumptions!$B$15*$C6</f>
        <v/>
      </c>
      <c r="J6" s="67">
        <f>Assumptions!$B$16*$C6</f>
        <v/>
      </c>
      <c r="K6" s="67">
        <f>Assumptions!$B$17*$C6</f>
        <v/>
      </c>
      <c r="L6" s="67">
        <f>Assumptions!$B$18*$C6</f>
        <v/>
      </c>
      <c r="M6" s="68">
        <f>SUM(D6:L6)</f>
        <v/>
      </c>
    </row>
    <row r="7" ht="15" customHeight="1" s="44">
      <c r="A7" s="69" t="n">
        <v>4</v>
      </c>
      <c r="B7" s="70" t="inlineStr">
        <is>
          <t>Major</t>
        </is>
      </c>
      <c r="C7" s="71">
        <f>IF(B7="Grand Final",Assumptions!$B$8,IF(B7="Major",Assumptions!$B$7,1))</f>
        <v/>
      </c>
      <c r="D7" s="72">
        <f>Assumptions!$B$10*$C7</f>
        <v/>
      </c>
      <c r="E7" s="72">
        <f>Assumptions!$B$11*$C7</f>
        <v/>
      </c>
      <c r="F7" s="72">
        <f>Assumptions!$B$12*$C7</f>
        <v/>
      </c>
      <c r="G7" s="72">
        <f>Assumptions!$B$13*$C7</f>
        <v/>
      </c>
      <c r="H7" s="72">
        <f>Assumptions!$B$14*$C7</f>
        <v/>
      </c>
      <c r="I7" s="72">
        <f>Assumptions!$B$15*$C7</f>
        <v/>
      </c>
      <c r="J7" s="72">
        <f>Assumptions!$B$16*$C7</f>
        <v/>
      </c>
      <c r="K7" s="72">
        <f>Assumptions!$B$17*$C7</f>
        <v/>
      </c>
      <c r="L7" s="72">
        <f>Assumptions!$B$18*$C7</f>
        <v/>
      </c>
      <c r="M7" s="73">
        <f>SUM(D7:L7)</f>
        <v/>
      </c>
    </row>
    <row r="8" ht="15" customHeight="1" s="44">
      <c r="A8" s="64" t="n">
        <v>5</v>
      </c>
      <c r="B8" s="65" t="inlineStr">
        <is>
          <t>Regular</t>
        </is>
      </c>
      <c r="C8" s="66">
        <f>IF(B8="Grand Final",Assumptions!$B$8,IF(B8="Major",Assumptions!$B$7,1))</f>
        <v/>
      </c>
      <c r="D8" s="67">
        <f>Assumptions!$B$10*$C8</f>
        <v/>
      </c>
      <c r="E8" s="67">
        <f>Assumptions!$B$11*$C8</f>
        <v/>
      </c>
      <c r="F8" s="67">
        <f>Assumptions!$B$12*$C8</f>
        <v/>
      </c>
      <c r="G8" s="67">
        <f>Assumptions!$B$13*$C8</f>
        <v/>
      </c>
      <c r="H8" s="67">
        <f>Assumptions!$B$14*$C8</f>
        <v/>
      </c>
      <c r="I8" s="67">
        <f>Assumptions!$B$15*$C8</f>
        <v/>
      </c>
      <c r="J8" s="67">
        <f>Assumptions!$B$16*$C8</f>
        <v/>
      </c>
      <c r="K8" s="67">
        <f>Assumptions!$B$17*$C8</f>
        <v/>
      </c>
      <c r="L8" s="67">
        <f>Assumptions!$B$18*$C8</f>
        <v/>
      </c>
      <c r="M8" s="68">
        <f>SUM(D8:L8)</f>
        <v/>
      </c>
    </row>
    <row r="9" ht="15" customHeight="1" s="44">
      <c r="A9" s="69" t="n">
        <v>6</v>
      </c>
      <c r="B9" s="70" t="inlineStr">
        <is>
          <t>Regular</t>
        </is>
      </c>
      <c r="C9" s="71">
        <f>IF(B9="Grand Final",Assumptions!$B$8,IF(B9="Major",Assumptions!$B$7,1))</f>
        <v/>
      </c>
      <c r="D9" s="72">
        <f>Assumptions!$B$10*$C9</f>
        <v/>
      </c>
      <c r="E9" s="72">
        <f>Assumptions!$B$11*$C9</f>
        <v/>
      </c>
      <c r="F9" s="72">
        <f>Assumptions!$B$12*$C9</f>
        <v/>
      </c>
      <c r="G9" s="72">
        <f>Assumptions!$B$13*$C9</f>
        <v/>
      </c>
      <c r="H9" s="72">
        <f>Assumptions!$B$14*$C9</f>
        <v/>
      </c>
      <c r="I9" s="72">
        <f>Assumptions!$B$15*$C9</f>
        <v/>
      </c>
      <c r="J9" s="72">
        <f>Assumptions!$B$16*$C9</f>
        <v/>
      </c>
      <c r="K9" s="72">
        <f>Assumptions!$B$17*$C9</f>
        <v/>
      </c>
      <c r="L9" s="72">
        <f>Assumptions!$B$18*$C9</f>
        <v/>
      </c>
      <c r="M9" s="73">
        <f>SUM(D9:L9)</f>
        <v/>
      </c>
    </row>
    <row r="10" ht="15" customHeight="1" s="44">
      <c r="A10" s="64" t="n">
        <v>7</v>
      </c>
      <c r="B10" s="65" t="inlineStr">
        <is>
          <t>Major</t>
        </is>
      </c>
      <c r="C10" s="66">
        <f>IF(B10="Grand Final",Assumptions!$B$8,IF(B10="Major",Assumptions!$B$7,1))</f>
        <v/>
      </c>
      <c r="D10" s="67">
        <f>Assumptions!$B$10*$C10</f>
        <v/>
      </c>
      <c r="E10" s="67">
        <f>Assumptions!$B$11*$C10</f>
        <v/>
      </c>
      <c r="F10" s="67">
        <f>Assumptions!$B$12*$C10</f>
        <v/>
      </c>
      <c r="G10" s="67">
        <f>Assumptions!$B$13*$C10</f>
        <v/>
      </c>
      <c r="H10" s="67">
        <f>Assumptions!$B$14*$C10</f>
        <v/>
      </c>
      <c r="I10" s="67">
        <f>Assumptions!$B$15*$C10</f>
        <v/>
      </c>
      <c r="J10" s="67">
        <f>Assumptions!$B$16*$C10</f>
        <v/>
      </c>
      <c r="K10" s="67">
        <f>Assumptions!$B$17*$C10</f>
        <v/>
      </c>
      <c r="L10" s="67">
        <f>Assumptions!$B$18*$C10</f>
        <v/>
      </c>
      <c r="M10" s="68">
        <f>SUM(D10:L10)</f>
        <v/>
      </c>
    </row>
    <row r="11" ht="15" customHeight="1" s="44">
      <c r="A11" s="69" t="n">
        <v>8</v>
      </c>
      <c r="B11" s="70" t="inlineStr">
        <is>
          <t>Regular</t>
        </is>
      </c>
      <c r="C11" s="71">
        <f>IF(B11="Grand Final",Assumptions!$B$8,IF(B11="Major",Assumptions!$B$7,1))</f>
        <v/>
      </c>
      <c r="D11" s="72">
        <f>Assumptions!$B$10*$C11</f>
        <v/>
      </c>
      <c r="E11" s="72">
        <f>Assumptions!$B$11*$C11</f>
        <v/>
      </c>
      <c r="F11" s="72">
        <f>Assumptions!$B$12*$C11</f>
        <v/>
      </c>
      <c r="G11" s="72">
        <f>Assumptions!$B$13*$C11</f>
        <v/>
      </c>
      <c r="H11" s="72">
        <f>Assumptions!$B$14*$C11</f>
        <v/>
      </c>
      <c r="I11" s="72">
        <f>Assumptions!$B$15*$C11</f>
        <v/>
      </c>
      <c r="J11" s="72">
        <f>Assumptions!$B$16*$C11</f>
        <v/>
      </c>
      <c r="K11" s="72">
        <f>Assumptions!$B$17*$C11</f>
        <v/>
      </c>
      <c r="L11" s="72">
        <f>Assumptions!$B$18*$C11</f>
        <v/>
      </c>
      <c r="M11" s="73">
        <f>SUM(D11:L11)</f>
        <v/>
      </c>
    </row>
    <row r="12" ht="15" customHeight="1" s="44">
      <c r="A12" s="64" t="n">
        <v>9</v>
      </c>
      <c r="B12" s="65" t="inlineStr">
        <is>
          <t>Regular</t>
        </is>
      </c>
      <c r="C12" s="66">
        <f>IF(B12="Grand Final",Assumptions!$B$8,IF(B12="Major",Assumptions!$B$7,1))</f>
        <v/>
      </c>
      <c r="D12" s="67">
        <f>Assumptions!$B$10*$C12</f>
        <v/>
      </c>
      <c r="E12" s="67">
        <f>Assumptions!$B$11*$C12</f>
        <v/>
      </c>
      <c r="F12" s="67">
        <f>Assumptions!$B$12*$C12</f>
        <v/>
      </c>
      <c r="G12" s="67">
        <f>Assumptions!$B$13*$C12</f>
        <v/>
      </c>
      <c r="H12" s="67">
        <f>Assumptions!$B$14*$C12</f>
        <v/>
      </c>
      <c r="I12" s="67">
        <f>Assumptions!$B$15*$C12</f>
        <v/>
      </c>
      <c r="J12" s="67">
        <f>Assumptions!$B$16*$C12</f>
        <v/>
      </c>
      <c r="K12" s="67">
        <f>Assumptions!$B$17*$C12</f>
        <v/>
      </c>
      <c r="L12" s="67">
        <f>Assumptions!$B$18*$C12</f>
        <v/>
      </c>
      <c r="M12" s="68">
        <f>SUM(D12:L12)</f>
        <v/>
      </c>
    </row>
    <row r="13" ht="15" customHeight="1" s="44">
      <c r="A13" s="69" t="n">
        <v>10</v>
      </c>
      <c r="B13" s="70" t="inlineStr">
        <is>
          <t>Major</t>
        </is>
      </c>
      <c r="C13" s="71">
        <f>IF(B13="Grand Final",Assumptions!$B$8,IF(B13="Major",Assumptions!$B$7,1))</f>
        <v/>
      </c>
      <c r="D13" s="72">
        <f>Assumptions!$B$10*$C13</f>
        <v/>
      </c>
      <c r="E13" s="72">
        <f>Assumptions!$B$11*$C13</f>
        <v/>
      </c>
      <c r="F13" s="72">
        <f>Assumptions!$B$12*$C13</f>
        <v/>
      </c>
      <c r="G13" s="72">
        <f>Assumptions!$B$13*$C13</f>
        <v/>
      </c>
      <c r="H13" s="72">
        <f>Assumptions!$B$14*$C13</f>
        <v/>
      </c>
      <c r="I13" s="72">
        <f>Assumptions!$B$15*$C13</f>
        <v/>
      </c>
      <c r="J13" s="72">
        <f>Assumptions!$B$16*$C13</f>
        <v/>
      </c>
      <c r="K13" s="72">
        <f>Assumptions!$B$17*$C13</f>
        <v/>
      </c>
      <c r="L13" s="72">
        <f>Assumptions!$B$18*$C13</f>
        <v/>
      </c>
      <c r="M13" s="73">
        <f>SUM(D13:L13)</f>
        <v/>
      </c>
    </row>
    <row r="14" ht="15" customHeight="1" s="44">
      <c r="A14" s="64" t="n">
        <v>11</v>
      </c>
      <c r="B14" s="65" t="inlineStr">
        <is>
          <t>Regular</t>
        </is>
      </c>
      <c r="C14" s="66">
        <f>IF(B14="Grand Final",Assumptions!$B$8,IF(B14="Major",Assumptions!$B$7,1))</f>
        <v/>
      </c>
      <c r="D14" s="67">
        <f>Assumptions!$B$10*$C14</f>
        <v/>
      </c>
      <c r="E14" s="67">
        <f>Assumptions!$B$11*$C14</f>
        <v/>
      </c>
      <c r="F14" s="67">
        <f>Assumptions!$B$12*$C14</f>
        <v/>
      </c>
      <c r="G14" s="67">
        <f>Assumptions!$B$13*$C14</f>
        <v/>
      </c>
      <c r="H14" s="67">
        <f>Assumptions!$B$14*$C14</f>
        <v/>
      </c>
      <c r="I14" s="67">
        <f>Assumptions!$B$15*$C14</f>
        <v/>
      </c>
      <c r="J14" s="67">
        <f>Assumptions!$B$16*$C14</f>
        <v/>
      </c>
      <c r="K14" s="67">
        <f>Assumptions!$B$17*$C14</f>
        <v/>
      </c>
      <c r="L14" s="67">
        <f>Assumptions!$B$18*$C14</f>
        <v/>
      </c>
      <c r="M14" s="68">
        <f>SUM(D14:L14)</f>
        <v/>
      </c>
    </row>
    <row r="15" ht="15" customHeight="1" s="44">
      <c r="A15" s="69" t="n">
        <v>12</v>
      </c>
      <c r="B15" s="70" t="inlineStr">
        <is>
          <t>Regular</t>
        </is>
      </c>
      <c r="C15" s="71">
        <f>IF(B15="Grand Final",Assumptions!$B$8,IF(B15="Major",Assumptions!$B$7,1))</f>
        <v/>
      </c>
      <c r="D15" s="72">
        <f>Assumptions!$B$10*$C15</f>
        <v/>
      </c>
      <c r="E15" s="72">
        <f>Assumptions!$B$11*$C15</f>
        <v/>
      </c>
      <c r="F15" s="72">
        <f>Assumptions!$B$12*$C15</f>
        <v/>
      </c>
      <c r="G15" s="72">
        <f>Assumptions!$B$13*$C15</f>
        <v/>
      </c>
      <c r="H15" s="72">
        <f>Assumptions!$B$14*$C15</f>
        <v/>
      </c>
      <c r="I15" s="72">
        <f>Assumptions!$B$15*$C15</f>
        <v/>
      </c>
      <c r="J15" s="72">
        <f>Assumptions!$B$16*$C15</f>
        <v/>
      </c>
      <c r="K15" s="72">
        <f>Assumptions!$B$17*$C15</f>
        <v/>
      </c>
      <c r="L15" s="72">
        <f>Assumptions!$B$18*$C15</f>
        <v/>
      </c>
      <c r="M15" s="73">
        <f>SUM(D15:L15)</f>
        <v/>
      </c>
    </row>
    <row r="16" ht="15" customHeight="1" s="44">
      <c r="A16" s="64" t="n">
        <v>13</v>
      </c>
      <c r="B16" s="65" t="inlineStr">
        <is>
          <t>Grand Final</t>
        </is>
      </c>
      <c r="C16" s="66">
        <f>IF(B16="Grand Final",Assumptions!$B$8,IF(B16="Major",Assumptions!$B$7,1))</f>
        <v/>
      </c>
      <c r="D16" s="67">
        <f>Assumptions!$B$10*$C16</f>
        <v/>
      </c>
      <c r="E16" s="67">
        <f>Assumptions!$B$11*$C16</f>
        <v/>
      </c>
      <c r="F16" s="67">
        <f>Assumptions!$B$12*$C16</f>
        <v/>
      </c>
      <c r="G16" s="67">
        <f>Assumptions!$B$13*$C16</f>
        <v/>
      </c>
      <c r="H16" s="67">
        <f>Assumptions!$B$14*$C16</f>
        <v/>
      </c>
      <c r="I16" s="67">
        <f>Assumptions!$B$15*$C16</f>
        <v/>
      </c>
      <c r="J16" s="67">
        <f>Assumptions!$B$16*$C16</f>
        <v/>
      </c>
      <c r="K16" s="67">
        <f>Assumptions!$B$17*$C16</f>
        <v/>
      </c>
      <c r="L16" s="67">
        <f>Assumptions!$B$18*$C16</f>
        <v/>
      </c>
      <c r="M16" s="68">
        <f>SUM(D16:L16)</f>
        <v/>
      </c>
    </row>
    <row r="17" ht="15" customHeight="1" s="44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47" t="inlineStr">
        <is>
          <t>Season total</t>
        </is>
      </c>
      <c r="M17" s="74">
        <f>SUM(M4:M16)</f>
        <v/>
      </c>
    </row>
    <row r="18" ht="15" customHeight="1" s="44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47" t="inlineStr">
        <is>
          <t>Majors share</t>
        </is>
      </c>
      <c r="M18" s="75">
        <f>SUMIFS(M4:M16,B4:B16,"Major")/M17+SUMIFS(M4:M16,B4:B16,"Grand Final")/M17</f>
        <v/>
      </c>
    </row>
    <row r="19" ht="15" customHeight="1" s="44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</row>
    <row r="20" ht="15" customHeight="1" s="44">
      <c r="A20" s="47" t="inlineStr">
        <is>
          <t>Per-race standard purse totals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</row>
    <row r="21" ht="26.85" customHeight="1" s="44">
      <c r="A21" s="63" t="inlineStr">
        <is>
          <t>Class</t>
        </is>
      </c>
      <c r="B21" s="63" t="inlineStr">
        <is>
          <t>Total purse</t>
        </is>
      </c>
      <c r="C21" s="63" t="inlineStr">
        <is>
          <t>Per-trap avg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</row>
    <row r="22" ht="15" customHeight="1" s="44">
      <c r="A22" s="76" t="inlineStr">
        <is>
          <t>Bronze</t>
        </is>
      </c>
      <c r="B22" s="68">
        <f>Assumptions!$B$10+Assumptions!$B$11+Assumptions!$B$12</f>
        <v/>
      </c>
      <c r="C22" s="68">
        <f>B22/Assumptions!$B$6</f>
        <v/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</row>
    <row r="23" ht="15" customHeight="1" s="44">
      <c r="A23" s="76" t="inlineStr">
        <is>
          <t>Silver</t>
        </is>
      </c>
      <c r="B23" s="68">
        <f>Assumptions!$B$13+Assumptions!$B$14+Assumptions!$B$15</f>
        <v/>
      </c>
      <c r="C23" s="68">
        <f>B23/Assumptions!$B$6</f>
        <v/>
      </c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5" customHeight="1" s="44">
      <c r="A24" s="76" t="inlineStr">
        <is>
          <t>Gold</t>
        </is>
      </c>
      <c r="B24" s="68">
        <f>Assumptions!$B$16+Assumptions!$B$17+Assumptions!$B$18</f>
        <v/>
      </c>
      <c r="C24" s="68">
        <f>B24/Assumptions!$B$6</f>
        <v/>
      </c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</row>
    <row r="25" ht="15" customHeight="1" s="44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</row>
    <row r="26" ht="15" customHeight="1" s="44">
      <c r="A26" s="52" t="inlineStr">
        <is>
          <t>Note: the Event column (blue) can be re-typed to move Majors around. Empty traps are filled with local dogs, who also take prize money — so a stable's share of a purse is never 100%.</t>
        </is>
      </c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43" min="1" max="1"/>
    <col width="14" customWidth="1" style="43" min="2" max="7"/>
  </cols>
  <sheetData>
    <row r="1" ht="17.35" customHeight="1" s="44">
      <c r="A1" s="45" t="inlineStr">
        <is>
          <t>Dog Value — market value by rating and age</t>
        </is>
      </c>
      <c r="B1" s="50" t="n"/>
      <c r="C1" s="50" t="n"/>
      <c r="D1" s="50" t="n"/>
      <c r="E1" s="50" t="n"/>
      <c r="F1" s="50" t="n"/>
      <c r="G1" s="50" t="n"/>
    </row>
    <row r="2" ht="15" customHeight="1" s="44">
      <c r="A2" s="52" t="inlineStr">
        <is>
          <t>Formula: (a + b × rating²) × age factor. This is what "net worth" counts a dog as at season end and the anchor for market prices (±20% by planet and haggling).</t>
        </is>
      </c>
      <c r="B2" s="50" t="n"/>
      <c r="C2" s="50" t="n"/>
      <c r="D2" s="50" t="n"/>
      <c r="E2" s="50" t="n"/>
      <c r="F2" s="50" t="n"/>
      <c r="G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</row>
    <row r="4" ht="15" customHeight="1" s="44">
      <c r="A4" s="63" t="inlineStr">
        <is>
          <t>Rating</t>
        </is>
      </c>
      <c r="B4" s="63" t="inlineStr">
        <is>
          <t>Age 1</t>
        </is>
      </c>
      <c r="C4" s="63" t="inlineStr">
        <is>
          <t>Age 2</t>
        </is>
      </c>
      <c r="D4" s="63" t="inlineStr">
        <is>
          <t>Age 3</t>
        </is>
      </c>
      <c r="E4" s="63" t="inlineStr">
        <is>
          <t>Age 4</t>
        </is>
      </c>
      <c r="F4" s="63" t="inlineStr">
        <is>
          <t>Age 5</t>
        </is>
      </c>
      <c r="G4" s="63" t="inlineStr">
        <is>
          <t>Age 6+</t>
        </is>
      </c>
    </row>
    <row r="5" ht="15" customHeight="1" s="44">
      <c r="A5" s="64" t="n">
        <v>20</v>
      </c>
      <c r="B5" s="67">
        <f>(Assumptions!$B$40+Assumptions!$B$41*$A5^2)*Assumptions!$B$42</f>
        <v/>
      </c>
      <c r="C5" s="67">
        <f>(Assumptions!$B$40+Assumptions!$B$41*$A5^2)*Assumptions!$B$43</f>
        <v/>
      </c>
      <c r="D5" s="67">
        <f>(Assumptions!$B$40+Assumptions!$B$41*$A5^2)*Assumptions!$B$44</f>
        <v/>
      </c>
      <c r="E5" s="67">
        <f>(Assumptions!$B$40+Assumptions!$B$41*$A5^2)*Assumptions!$B$45</f>
        <v/>
      </c>
      <c r="F5" s="67">
        <f>(Assumptions!$B$40+Assumptions!$B$41*$A5^2)*Assumptions!$B$46</f>
        <v/>
      </c>
      <c r="G5" s="67">
        <f>(Assumptions!$B$40+Assumptions!$B$41*$A5^2)*Assumptions!$B$47</f>
        <v/>
      </c>
    </row>
    <row r="6" ht="15" customHeight="1" s="44">
      <c r="A6" s="69" t="n">
        <v>25</v>
      </c>
      <c r="B6" s="72">
        <f>(Assumptions!$B$40+Assumptions!$B$41*$A6^2)*Assumptions!$B$42</f>
        <v/>
      </c>
      <c r="C6" s="72">
        <f>(Assumptions!$B$40+Assumptions!$B$41*$A6^2)*Assumptions!$B$43</f>
        <v/>
      </c>
      <c r="D6" s="72">
        <f>(Assumptions!$B$40+Assumptions!$B$41*$A6^2)*Assumptions!$B$44</f>
        <v/>
      </c>
      <c r="E6" s="72">
        <f>(Assumptions!$B$40+Assumptions!$B$41*$A6^2)*Assumptions!$B$45</f>
        <v/>
      </c>
      <c r="F6" s="72">
        <f>(Assumptions!$B$40+Assumptions!$B$41*$A6^2)*Assumptions!$B$46</f>
        <v/>
      </c>
      <c r="G6" s="72">
        <f>(Assumptions!$B$40+Assumptions!$B$41*$A6^2)*Assumptions!$B$47</f>
        <v/>
      </c>
    </row>
    <row r="7" ht="15" customHeight="1" s="44">
      <c r="A7" s="64" t="n">
        <v>30</v>
      </c>
      <c r="B7" s="67">
        <f>(Assumptions!$B$40+Assumptions!$B$41*$A7^2)*Assumptions!$B$42</f>
        <v/>
      </c>
      <c r="C7" s="67">
        <f>(Assumptions!$B$40+Assumptions!$B$41*$A7^2)*Assumptions!$B$43</f>
        <v/>
      </c>
      <c r="D7" s="67">
        <f>(Assumptions!$B$40+Assumptions!$B$41*$A7^2)*Assumptions!$B$44</f>
        <v/>
      </c>
      <c r="E7" s="67">
        <f>(Assumptions!$B$40+Assumptions!$B$41*$A7^2)*Assumptions!$B$45</f>
        <v/>
      </c>
      <c r="F7" s="67">
        <f>(Assumptions!$B$40+Assumptions!$B$41*$A7^2)*Assumptions!$B$46</f>
        <v/>
      </c>
      <c r="G7" s="67">
        <f>(Assumptions!$B$40+Assumptions!$B$41*$A7^2)*Assumptions!$B$47</f>
        <v/>
      </c>
    </row>
    <row r="8" ht="15" customHeight="1" s="44">
      <c r="A8" s="69" t="n">
        <v>35</v>
      </c>
      <c r="B8" s="72">
        <f>(Assumptions!$B$40+Assumptions!$B$41*$A8^2)*Assumptions!$B$42</f>
        <v/>
      </c>
      <c r="C8" s="72">
        <f>(Assumptions!$B$40+Assumptions!$B$41*$A8^2)*Assumptions!$B$43</f>
        <v/>
      </c>
      <c r="D8" s="72">
        <f>(Assumptions!$B$40+Assumptions!$B$41*$A8^2)*Assumptions!$B$44</f>
        <v/>
      </c>
      <c r="E8" s="72">
        <f>(Assumptions!$B$40+Assumptions!$B$41*$A8^2)*Assumptions!$B$45</f>
        <v/>
      </c>
      <c r="F8" s="72">
        <f>(Assumptions!$B$40+Assumptions!$B$41*$A8^2)*Assumptions!$B$46</f>
        <v/>
      </c>
      <c r="G8" s="72">
        <f>(Assumptions!$B$40+Assumptions!$B$41*$A8^2)*Assumptions!$B$47</f>
        <v/>
      </c>
    </row>
    <row r="9" ht="15" customHeight="1" s="44">
      <c r="A9" s="64" t="n">
        <v>40</v>
      </c>
      <c r="B9" s="67">
        <f>(Assumptions!$B$40+Assumptions!$B$41*$A9^2)*Assumptions!$B$42</f>
        <v/>
      </c>
      <c r="C9" s="67">
        <f>(Assumptions!$B$40+Assumptions!$B$41*$A9^2)*Assumptions!$B$43</f>
        <v/>
      </c>
      <c r="D9" s="67">
        <f>(Assumptions!$B$40+Assumptions!$B$41*$A9^2)*Assumptions!$B$44</f>
        <v/>
      </c>
      <c r="E9" s="67">
        <f>(Assumptions!$B$40+Assumptions!$B$41*$A9^2)*Assumptions!$B$45</f>
        <v/>
      </c>
      <c r="F9" s="67">
        <f>(Assumptions!$B$40+Assumptions!$B$41*$A9^2)*Assumptions!$B$46</f>
        <v/>
      </c>
      <c r="G9" s="67">
        <f>(Assumptions!$B$40+Assumptions!$B$41*$A9^2)*Assumptions!$B$47</f>
        <v/>
      </c>
    </row>
    <row r="10" ht="15" customHeight="1" s="44">
      <c r="A10" s="69" t="n">
        <v>45</v>
      </c>
      <c r="B10" s="72">
        <f>(Assumptions!$B$40+Assumptions!$B$41*$A10^2)*Assumptions!$B$42</f>
        <v/>
      </c>
      <c r="C10" s="72">
        <f>(Assumptions!$B$40+Assumptions!$B$41*$A10^2)*Assumptions!$B$43</f>
        <v/>
      </c>
      <c r="D10" s="72">
        <f>(Assumptions!$B$40+Assumptions!$B$41*$A10^2)*Assumptions!$B$44</f>
        <v/>
      </c>
      <c r="E10" s="72">
        <f>(Assumptions!$B$40+Assumptions!$B$41*$A10^2)*Assumptions!$B$45</f>
        <v/>
      </c>
      <c r="F10" s="72">
        <f>(Assumptions!$B$40+Assumptions!$B$41*$A10^2)*Assumptions!$B$46</f>
        <v/>
      </c>
      <c r="G10" s="72">
        <f>(Assumptions!$B$40+Assumptions!$B$41*$A10^2)*Assumptions!$B$47</f>
        <v/>
      </c>
    </row>
    <row r="11" ht="15" customHeight="1" s="44">
      <c r="A11" s="64" t="n">
        <v>50</v>
      </c>
      <c r="B11" s="67">
        <f>(Assumptions!$B$40+Assumptions!$B$41*$A11^2)*Assumptions!$B$42</f>
        <v/>
      </c>
      <c r="C11" s="67">
        <f>(Assumptions!$B$40+Assumptions!$B$41*$A11^2)*Assumptions!$B$43</f>
        <v/>
      </c>
      <c r="D11" s="67">
        <f>(Assumptions!$B$40+Assumptions!$B$41*$A11^2)*Assumptions!$B$44</f>
        <v/>
      </c>
      <c r="E11" s="67">
        <f>(Assumptions!$B$40+Assumptions!$B$41*$A11^2)*Assumptions!$B$45</f>
        <v/>
      </c>
      <c r="F11" s="67">
        <f>(Assumptions!$B$40+Assumptions!$B$41*$A11^2)*Assumptions!$B$46</f>
        <v/>
      </c>
      <c r="G11" s="67">
        <f>(Assumptions!$B$40+Assumptions!$B$41*$A11^2)*Assumptions!$B$47</f>
        <v/>
      </c>
    </row>
    <row r="12" ht="15" customHeight="1" s="44">
      <c r="A12" s="69" t="n">
        <v>55</v>
      </c>
      <c r="B12" s="72">
        <f>(Assumptions!$B$40+Assumptions!$B$41*$A12^2)*Assumptions!$B$42</f>
        <v/>
      </c>
      <c r="C12" s="72">
        <f>(Assumptions!$B$40+Assumptions!$B$41*$A12^2)*Assumptions!$B$43</f>
        <v/>
      </c>
      <c r="D12" s="72">
        <f>(Assumptions!$B$40+Assumptions!$B$41*$A12^2)*Assumptions!$B$44</f>
        <v/>
      </c>
      <c r="E12" s="72">
        <f>(Assumptions!$B$40+Assumptions!$B$41*$A12^2)*Assumptions!$B$45</f>
        <v/>
      </c>
      <c r="F12" s="72">
        <f>(Assumptions!$B$40+Assumptions!$B$41*$A12^2)*Assumptions!$B$46</f>
        <v/>
      </c>
      <c r="G12" s="72">
        <f>(Assumptions!$B$40+Assumptions!$B$41*$A12^2)*Assumptions!$B$47</f>
        <v/>
      </c>
    </row>
    <row r="13" ht="15" customHeight="1" s="44">
      <c r="A13" s="64" t="n">
        <v>60</v>
      </c>
      <c r="B13" s="67">
        <f>(Assumptions!$B$40+Assumptions!$B$41*$A13^2)*Assumptions!$B$42</f>
        <v/>
      </c>
      <c r="C13" s="67">
        <f>(Assumptions!$B$40+Assumptions!$B$41*$A13^2)*Assumptions!$B$43</f>
        <v/>
      </c>
      <c r="D13" s="67">
        <f>(Assumptions!$B$40+Assumptions!$B$41*$A13^2)*Assumptions!$B$44</f>
        <v/>
      </c>
      <c r="E13" s="67">
        <f>(Assumptions!$B$40+Assumptions!$B$41*$A13^2)*Assumptions!$B$45</f>
        <v/>
      </c>
      <c r="F13" s="67">
        <f>(Assumptions!$B$40+Assumptions!$B$41*$A13^2)*Assumptions!$B$46</f>
        <v/>
      </c>
      <c r="G13" s="67">
        <f>(Assumptions!$B$40+Assumptions!$B$41*$A13^2)*Assumptions!$B$47</f>
        <v/>
      </c>
    </row>
    <row r="14" ht="15" customHeight="1" s="44">
      <c r="A14" s="69" t="n">
        <v>65</v>
      </c>
      <c r="B14" s="72">
        <f>(Assumptions!$B$40+Assumptions!$B$41*$A14^2)*Assumptions!$B$42</f>
        <v/>
      </c>
      <c r="C14" s="72">
        <f>(Assumptions!$B$40+Assumptions!$B$41*$A14^2)*Assumptions!$B$43</f>
        <v/>
      </c>
      <c r="D14" s="72">
        <f>(Assumptions!$B$40+Assumptions!$B$41*$A14^2)*Assumptions!$B$44</f>
        <v/>
      </c>
      <c r="E14" s="72">
        <f>(Assumptions!$B$40+Assumptions!$B$41*$A14^2)*Assumptions!$B$45</f>
        <v/>
      </c>
      <c r="F14" s="72">
        <f>(Assumptions!$B$40+Assumptions!$B$41*$A14^2)*Assumptions!$B$46</f>
        <v/>
      </c>
      <c r="G14" s="72">
        <f>(Assumptions!$B$40+Assumptions!$B$41*$A14^2)*Assumptions!$B$47</f>
        <v/>
      </c>
    </row>
    <row r="15" ht="15" customHeight="1" s="44">
      <c r="A15" s="64" t="n">
        <v>70</v>
      </c>
      <c r="B15" s="67">
        <f>(Assumptions!$B$40+Assumptions!$B$41*$A15^2)*Assumptions!$B$42</f>
        <v/>
      </c>
      <c r="C15" s="67">
        <f>(Assumptions!$B$40+Assumptions!$B$41*$A15^2)*Assumptions!$B$43</f>
        <v/>
      </c>
      <c r="D15" s="67">
        <f>(Assumptions!$B$40+Assumptions!$B$41*$A15^2)*Assumptions!$B$44</f>
        <v/>
      </c>
      <c r="E15" s="67">
        <f>(Assumptions!$B$40+Assumptions!$B$41*$A15^2)*Assumptions!$B$45</f>
        <v/>
      </c>
      <c r="F15" s="67">
        <f>(Assumptions!$B$40+Assumptions!$B$41*$A15^2)*Assumptions!$B$46</f>
        <v/>
      </c>
      <c r="G15" s="67">
        <f>(Assumptions!$B$40+Assumptions!$B$41*$A15^2)*Assumptions!$B$47</f>
        <v/>
      </c>
    </row>
    <row r="16" ht="15" customHeight="1" s="44">
      <c r="A16" s="69" t="n">
        <v>75</v>
      </c>
      <c r="B16" s="72">
        <f>(Assumptions!$B$40+Assumptions!$B$41*$A16^2)*Assumptions!$B$42</f>
        <v/>
      </c>
      <c r="C16" s="72">
        <f>(Assumptions!$B$40+Assumptions!$B$41*$A16^2)*Assumptions!$B$43</f>
        <v/>
      </c>
      <c r="D16" s="72">
        <f>(Assumptions!$B$40+Assumptions!$B$41*$A16^2)*Assumptions!$B$44</f>
        <v/>
      </c>
      <c r="E16" s="72">
        <f>(Assumptions!$B$40+Assumptions!$B$41*$A16^2)*Assumptions!$B$45</f>
        <v/>
      </c>
      <c r="F16" s="72">
        <f>(Assumptions!$B$40+Assumptions!$B$41*$A16^2)*Assumptions!$B$46</f>
        <v/>
      </c>
      <c r="G16" s="72">
        <f>(Assumptions!$B$40+Assumptions!$B$41*$A16^2)*Assumptions!$B$47</f>
        <v/>
      </c>
    </row>
    <row r="17" ht="15" customHeight="1" s="44">
      <c r="A17" s="64" t="n">
        <v>80</v>
      </c>
      <c r="B17" s="67">
        <f>(Assumptions!$B$40+Assumptions!$B$41*$A17^2)*Assumptions!$B$42</f>
        <v/>
      </c>
      <c r="C17" s="67">
        <f>(Assumptions!$B$40+Assumptions!$B$41*$A17^2)*Assumptions!$B$43</f>
        <v/>
      </c>
      <c r="D17" s="67">
        <f>(Assumptions!$B$40+Assumptions!$B$41*$A17^2)*Assumptions!$B$44</f>
        <v/>
      </c>
      <c r="E17" s="67">
        <f>(Assumptions!$B$40+Assumptions!$B$41*$A17^2)*Assumptions!$B$45</f>
        <v/>
      </c>
      <c r="F17" s="67">
        <f>(Assumptions!$B$40+Assumptions!$B$41*$A17^2)*Assumptions!$B$46</f>
        <v/>
      </c>
      <c r="G17" s="67">
        <f>(Assumptions!$B$40+Assumptions!$B$41*$A17^2)*Assumptions!$B$47</f>
        <v/>
      </c>
    </row>
    <row r="18" ht="15" customHeight="1" s="44">
      <c r="A18" s="69" t="n">
        <v>85</v>
      </c>
      <c r="B18" s="72">
        <f>(Assumptions!$B$40+Assumptions!$B$41*$A18^2)*Assumptions!$B$42</f>
        <v/>
      </c>
      <c r="C18" s="72">
        <f>(Assumptions!$B$40+Assumptions!$B$41*$A18^2)*Assumptions!$B$43</f>
        <v/>
      </c>
      <c r="D18" s="72">
        <f>(Assumptions!$B$40+Assumptions!$B$41*$A18^2)*Assumptions!$B$44</f>
        <v/>
      </c>
      <c r="E18" s="72">
        <f>(Assumptions!$B$40+Assumptions!$B$41*$A18^2)*Assumptions!$B$45</f>
        <v/>
      </c>
      <c r="F18" s="72">
        <f>(Assumptions!$B$40+Assumptions!$B$41*$A18^2)*Assumptions!$B$46</f>
        <v/>
      </c>
      <c r="G18" s="72">
        <f>(Assumptions!$B$40+Assumptions!$B$41*$A18^2)*Assumptions!$B$47</f>
        <v/>
      </c>
    </row>
    <row r="19" ht="15" customHeight="1" s="44">
      <c r="A19" s="64" t="n">
        <v>90</v>
      </c>
      <c r="B19" s="67">
        <f>(Assumptions!$B$40+Assumptions!$B$41*$A19^2)*Assumptions!$B$42</f>
        <v/>
      </c>
      <c r="C19" s="67">
        <f>(Assumptions!$B$40+Assumptions!$B$41*$A19^2)*Assumptions!$B$43</f>
        <v/>
      </c>
      <c r="D19" s="67">
        <f>(Assumptions!$B$40+Assumptions!$B$41*$A19^2)*Assumptions!$B$44</f>
        <v/>
      </c>
      <c r="E19" s="67">
        <f>(Assumptions!$B$40+Assumptions!$B$41*$A19^2)*Assumptions!$B$45</f>
        <v/>
      </c>
      <c r="F19" s="67">
        <f>(Assumptions!$B$40+Assumptions!$B$41*$A19^2)*Assumptions!$B$46</f>
        <v/>
      </c>
      <c r="G19" s="67">
        <f>(Assumptions!$B$40+Assumptions!$B$41*$A19^2)*Assumptions!$B$47</f>
        <v/>
      </c>
    </row>
    <row r="20" ht="15" customHeight="1" s="44">
      <c r="A20" s="69" t="n">
        <v>95</v>
      </c>
      <c r="B20" s="72">
        <f>(Assumptions!$B$40+Assumptions!$B$41*$A20^2)*Assumptions!$B$42</f>
        <v/>
      </c>
      <c r="C20" s="72">
        <f>(Assumptions!$B$40+Assumptions!$B$41*$A20^2)*Assumptions!$B$43</f>
        <v/>
      </c>
      <c r="D20" s="72">
        <f>(Assumptions!$B$40+Assumptions!$B$41*$A20^2)*Assumptions!$B$44</f>
        <v/>
      </c>
      <c r="E20" s="72">
        <f>(Assumptions!$B$40+Assumptions!$B$41*$A20^2)*Assumptions!$B$45</f>
        <v/>
      </c>
      <c r="F20" s="72">
        <f>(Assumptions!$B$40+Assumptions!$B$41*$A20^2)*Assumptions!$B$46</f>
        <v/>
      </c>
      <c r="G20" s="72">
        <f>(Assumptions!$B$40+Assumptions!$B$41*$A20^2)*Assumptions!$B$47</f>
        <v/>
      </c>
    </row>
    <row r="21" ht="15" customHeight="1" s="44">
      <c r="A21" s="50" t="n"/>
      <c r="B21" s="50" t="n"/>
      <c r="C21" s="50" t="n"/>
      <c r="D21" s="50" t="n"/>
      <c r="E21" s="50" t="n"/>
      <c r="F21" s="50" t="n"/>
      <c r="G21" s="50" t="n"/>
    </row>
    <row r="22" ht="15" customHeight="1" s="44">
      <c r="A22" s="47" t="inlineStr">
        <is>
          <t>Starting stable</t>
        </is>
      </c>
      <c r="B22" s="50" t="n"/>
      <c r="C22" s="50" t="n"/>
      <c r="D22" s="50" t="n"/>
      <c r="E22" s="50" t="n"/>
      <c r="F22" s="50" t="n"/>
      <c r="G22" s="50" t="n"/>
    </row>
    <row r="23" ht="15" customHeight="1" s="44">
      <c r="A23" s="50" t="inlineStr">
        <is>
          <t>Dogs value</t>
        </is>
      </c>
      <c r="B23" s="77">
        <f>Assumptions!$B$36*(Assumptions!$B$40+Assumptions!$B$41*Assumptions!$B$37^2)*Assumptions!$B$44</f>
        <v/>
      </c>
      <c r="C23" s="50" t="n"/>
      <c r="D23" s="50" t="n"/>
      <c r="E23" s="50" t="n"/>
      <c r="F23" s="50" t="n"/>
      <c r="G23" s="50" t="n"/>
    </row>
    <row r="24" ht="15" customHeight="1" s="44">
      <c r="A24" s="50" t="inlineStr">
        <is>
          <t>Cash</t>
        </is>
      </c>
      <c r="B24" s="78">
        <f>Assumptions!$B$35</f>
        <v/>
      </c>
      <c r="C24" s="50" t="n"/>
      <c r="D24" s="50" t="n"/>
      <c r="E24" s="50" t="n"/>
      <c r="F24" s="50" t="n"/>
      <c r="G24" s="50" t="n"/>
    </row>
    <row r="25" ht="15" customHeight="1" s="44">
      <c r="A25" s="50" t="inlineStr">
        <is>
          <t>Ship</t>
        </is>
      </c>
      <c r="B25" s="78">
        <f>Assumptions!$B$38</f>
        <v/>
      </c>
      <c r="C25" s="50" t="n"/>
      <c r="D25" s="50" t="n"/>
      <c r="E25" s="50" t="n"/>
      <c r="F25" s="50" t="n"/>
      <c r="G25" s="50" t="n"/>
    </row>
    <row r="26" ht="15" customHeight="1" s="44">
      <c r="A26" s="47" t="inlineStr">
        <is>
          <t>Start net worth</t>
        </is>
      </c>
      <c r="B26" s="74">
        <f>SUM(B23:B25)</f>
        <v/>
      </c>
      <c r="C26" s="50" t="n"/>
      <c r="D26" s="50" t="n"/>
      <c r="E26" s="50" t="n"/>
      <c r="F26" s="50" t="n"/>
      <c r="G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3" min="1" max="1"/>
    <col width="11" customWidth="1" style="43" min="2" max="14"/>
    <col width="13" customWidth="1" style="43" min="15" max="15"/>
  </cols>
  <sheetData>
    <row r="1" ht="17.35" customHeight="1" s="44">
      <c r="A1" s="45" t="inlineStr">
        <is>
          <t>Cashflow — week-by-week P&amp;L for three archetype stables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</row>
    <row r="2" ht="15" customHeight="1" s="44">
      <c r="A2" s="52" t="inlineStr">
        <is>
          <t>Prize income = finish share × class purse that week (shares on Assumptions). Costs assume 4 dogs from week 3 and a trainer from week 2 for Average/Aggressive. Food trade assumes cargo filled every jump at the typical margin.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7.35" customHeight="1" s="44">
      <c r="A4" s="45" t="inlineStr">
        <is>
          <t>Cautious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 s="44">
      <c r="A5" s="63" t="inlineStr">
        <is>
          <t>Line</t>
        </is>
      </c>
      <c r="B5" s="63" t="inlineStr">
        <is>
          <t>Wk 1</t>
        </is>
      </c>
      <c r="C5" s="63" t="inlineStr">
        <is>
          <t>Wk 2</t>
        </is>
      </c>
      <c r="D5" s="63" t="inlineStr">
        <is>
          <t>Wk 3</t>
        </is>
      </c>
      <c r="E5" s="63" t="inlineStr">
        <is>
          <t>Wk 4</t>
        </is>
      </c>
      <c r="F5" s="63" t="inlineStr">
        <is>
          <t>Wk 5</t>
        </is>
      </c>
      <c r="G5" s="63" t="inlineStr">
        <is>
          <t>Wk 6</t>
        </is>
      </c>
      <c r="H5" s="63" t="inlineStr">
        <is>
          <t>Wk 7</t>
        </is>
      </c>
      <c r="I5" s="63" t="inlineStr">
        <is>
          <t>Wk 8</t>
        </is>
      </c>
      <c r="J5" s="63" t="inlineStr">
        <is>
          <t>Wk 9</t>
        </is>
      </c>
      <c r="K5" s="63" t="inlineStr">
        <is>
          <t>Wk 10</t>
        </is>
      </c>
      <c r="L5" s="63" t="inlineStr">
        <is>
          <t>Wk 11</t>
        </is>
      </c>
      <c r="M5" s="63" t="inlineStr">
        <is>
          <t>Wk 12</t>
        </is>
      </c>
      <c r="N5" s="63" t="inlineStr">
        <is>
          <t>Wk 13</t>
        </is>
      </c>
      <c r="O5" s="63" t="inlineStr">
        <is>
          <t>Season</t>
        </is>
      </c>
    </row>
    <row r="6" ht="15" customHeight="1" s="44">
      <c r="A6" s="46" t="inlineStr">
        <is>
          <t>Dogs owned</t>
        </is>
      </c>
      <c r="B6" s="79">
        <f>Assumptions!$B$36</f>
        <v/>
      </c>
      <c r="C6" s="79">
        <f>Assumptions!$B$36</f>
        <v/>
      </c>
      <c r="D6" s="79">
        <f>Assumptions!$B$36</f>
        <v/>
      </c>
      <c r="E6" s="79">
        <f>Assumptions!$B$36</f>
        <v/>
      </c>
      <c r="F6" s="79">
        <f>Assumptions!$B$36</f>
        <v/>
      </c>
      <c r="G6" s="79">
        <f>Assumptions!$B$36</f>
        <v/>
      </c>
      <c r="H6" s="79">
        <f>Assumptions!$B$36</f>
        <v/>
      </c>
      <c r="I6" s="79">
        <f>Assumptions!$B$36</f>
        <v/>
      </c>
      <c r="J6" s="79">
        <f>Assumptions!$B$36</f>
        <v/>
      </c>
      <c r="K6" s="79">
        <f>Assumptions!$B$36</f>
        <v/>
      </c>
      <c r="L6" s="79">
        <f>Assumptions!$B$36</f>
        <v/>
      </c>
      <c r="M6" s="79">
        <f>Assumptions!$B$36</f>
        <v/>
      </c>
      <c r="N6" s="79">
        <f>Assumptions!$B$36</f>
        <v/>
      </c>
      <c r="O6" s="50" t="n"/>
    </row>
    <row r="7" ht="15" customHeight="1" s="44">
      <c r="A7" s="46" t="inlineStr">
        <is>
          <t>Trainer hired</t>
        </is>
      </c>
      <c r="B7" s="53" t="n">
        <v>0</v>
      </c>
      <c r="C7" s="53" t="n">
        <v>0</v>
      </c>
      <c r="D7" s="53" t="n">
        <v>0</v>
      </c>
      <c r="E7" s="53" t="n">
        <v>0</v>
      </c>
      <c r="F7" s="53" t="n">
        <v>0</v>
      </c>
      <c r="G7" s="53" t="n">
        <v>0</v>
      </c>
      <c r="H7" s="53" t="n">
        <v>0</v>
      </c>
      <c r="I7" s="53" t="n">
        <v>0</v>
      </c>
      <c r="J7" s="53" t="n">
        <v>0</v>
      </c>
      <c r="K7" s="53" t="n">
        <v>0</v>
      </c>
      <c r="L7" s="53" t="n">
        <v>0</v>
      </c>
      <c r="M7" s="53" t="n">
        <v>0</v>
      </c>
      <c r="N7" s="53" t="n">
        <v>0</v>
      </c>
      <c r="O7" s="50" t="n"/>
    </row>
    <row r="8" ht="15" customHeight="1" s="44">
      <c r="A8" s="46" t="inlineStr">
        <is>
          <t>Cargo capacity</t>
        </is>
      </c>
      <c r="B8" s="79">
        <f>Assumptions!$B$32</f>
        <v/>
      </c>
      <c r="C8" s="79">
        <f>Assumptions!$B$32</f>
        <v/>
      </c>
      <c r="D8" s="79">
        <f>Assumptions!$B$32</f>
        <v/>
      </c>
      <c r="E8" s="79">
        <f>Assumptions!$B$32</f>
        <v/>
      </c>
      <c r="F8" s="79">
        <f>Assumptions!$B$32</f>
        <v/>
      </c>
      <c r="G8" s="79">
        <f>Assumptions!$B$32</f>
        <v/>
      </c>
      <c r="H8" s="79">
        <f>Assumptions!$B$32</f>
        <v/>
      </c>
      <c r="I8" s="79">
        <f>Assumptions!$B$32</f>
        <v/>
      </c>
      <c r="J8" s="79">
        <f>Assumptions!$B$32</f>
        <v/>
      </c>
      <c r="K8" s="79">
        <f>Assumptions!$B$32</f>
        <v/>
      </c>
      <c r="L8" s="79">
        <f>Assumptions!$B$32</f>
        <v/>
      </c>
      <c r="M8" s="79">
        <f>Assumptions!$B$32</f>
        <v/>
      </c>
      <c r="N8" s="79">
        <f>Assumptions!$B$32</f>
        <v/>
      </c>
      <c r="O8" s="50" t="n"/>
    </row>
    <row r="9" ht="15" customHeight="1" s="44">
      <c r="A9" s="46" t="inlineStr">
        <is>
          <t>Bronze prize</t>
        </is>
      </c>
      <c r="B9" s="67">
        <f>Assumptions!$B$54*SUM('Purse Schedule'!$D$4:$F$4)</f>
        <v/>
      </c>
      <c r="C9" s="67">
        <f>Assumptions!$B$54*SUM('Purse Schedule'!$D$5:$F$5)</f>
        <v/>
      </c>
      <c r="D9" s="67">
        <f>Assumptions!$B$54*SUM('Purse Schedule'!$D$6:$F$6)</f>
        <v/>
      </c>
      <c r="E9" s="67">
        <f>Assumptions!$B$54*SUM('Purse Schedule'!$D$7:$F$7)</f>
        <v/>
      </c>
      <c r="F9" s="67">
        <f>Assumptions!$B$54*SUM('Purse Schedule'!$D$8:$F$8)</f>
        <v/>
      </c>
      <c r="G9" s="67">
        <f>Assumptions!$B$54*SUM('Purse Schedule'!$D$9:$F$9)</f>
        <v/>
      </c>
      <c r="H9" s="67">
        <f>Assumptions!$B$54*SUM('Purse Schedule'!$D$10:$F$10)</f>
        <v/>
      </c>
      <c r="I9" s="67">
        <f>Assumptions!$B$54*SUM('Purse Schedule'!$D$11:$F$11)</f>
        <v/>
      </c>
      <c r="J9" s="67">
        <f>Assumptions!$B$54*SUM('Purse Schedule'!$D$12:$F$12)</f>
        <v/>
      </c>
      <c r="K9" s="67">
        <f>Assumptions!$B$54*SUM('Purse Schedule'!$D$13:$F$13)</f>
        <v/>
      </c>
      <c r="L9" s="67">
        <f>Assumptions!$B$54*SUM('Purse Schedule'!$D$14:$F$14)</f>
        <v/>
      </c>
      <c r="M9" s="67">
        <f>Assumptions!$B$54*SUM('Purse Schedule'!$D$15:$F$15)</f>
        <v/>
      </c>
      <c r="N9" s="67">
        <f>Assumptions!$B$54*SUM('Purse Schedule'!$D$16:$F$16)</f>
        <v/>
      </c>
      <c r="O9" s="80">
        <f>SUM(B9:N9)</f>
        <v/>
      </c>
    </row>
    <row r="10" ht="15" customHeight="1" s="44">
      <c r="A10" s="46" t="inlineStr">
        <is>
          <t>Silver prize</t>
        </is>
      </c>
      <c r="B10" s="67">
        <f>Assumptions!$C$54*SUM('Purse Schedule'!$G$4:$I$4)</f>
        <v/>
      </c>
      <c r="C10" s="67">
        <f>Assumptions!$C$54*SUM('Purse Schedule'!$G$5:$I$5)</f>
        <v/>
      </c>
      <c r="D10" s="67">
        <f>Assumptions!$C$54*SUM('Purse Schedule'!$G$6:$I$6)</f>
        <v/>
      </c>
      <c r="E10" s="67">
        <f>Assumptions!$C$54*SUM('Purse Schedule'!$G$7:$I$7)</f>
        <v/>
      </c>
      <c r="F10" s="67">
        <f>Assumptions!$C$54*SUM('Purse Schedule'!$G$8:$I$8)</f>
        <v/>
      </c>
      <c r="G10" s="67">
        <f>Assumptions!$C$54*SUM('Purse Schedule'!$G$9:$I$9)</f>
        <v/>
      </c>
      <c r="H10" s="67">
        <f>Assumptions!$C$54*SUM('Purse Schedule'!$G$10:$I$10)</f>
        <v/>
      </c>
      <c r="I10" s="67">
        <f>Assumptions!$C$54*SUM('Purse Schedule'!$G$11:$I$11)</f>
        <v/>
      </c>
      <c r="J10" s="67">
        <f>Assumptions!$C$54*SUM('Purse Schedule'!$G$12:$I$12)</f>
        <v/>
      </c>
      <c r="K10" s="67">
        <f>Assumptions!$C$54*SUM('Purse Schedule'!$G$13:$I$13)</f>
        <v/>
      </c>
      <c r="L10" s="67">
        <f>Assumptions!$C$54*SUM('Purse Schedule'!$G$14:$I$14)</f>
        <v/>
      </c>
      <c r="M10" s="67">
        <f>Assumptions!$C$54*SUM('Purse Schedule'!$G$15:$I$15)</f>
        <v/>
      </c>
      <c r="N10" s="67">
        <f>Assumptions!$C$54*SUM('Purse Schedule'!$G$16:$I$16)</f>
        <v/>
      </c>
      <c r="O10" s="80">
        <f>SUM(B10:N10)</f>
        <v/>
      </c>
    </row>
    <row r="11" ht="15" customHeight="1" s="44">
      <c r="A11" s="46" t="inlineStr">
        <is>
          <t>Gold prize</t>
        </is>
      </c>
      <c r="B11" s="67">
        <f>Assumptions!$D$54*SUM('Purse Schedule'!$J$4:$L$4)</f>
        <v/>
      </c>
      <c r="C11" s="67">
        <f>Assumptions!$D$54*SUM('Purse Schedule'!$J$5:$L$5)</f>
        <v/>
      </c>
      <c r="D11" s="67">
        <f>Assumptions!$D$54*SUM('Purse Schedule'!$J$6:$L$6)</f>
        <v/>
      </c>
      <c r="E11" s="67">
        <f>Assumptions!$D$54*SUM('Purse Schedule'!$J$7:$L$7)</f>
        <v/>
      </c>
      <c r="F11" s="67">
        <f>Assumptions!$D$54*SUM('Purse Schedule'!$J$8:$L$8)</f>
        <v/>
      </c>
      <c r="G11" s="67">
        <f>Assumptions!$D$54*SUM('Purse Schedule'!$J$9:$L$9)</f>
        <v/>
      </c>
      <c r="H11" s="67">
        <f>Assumptions!$D$54*SUM('Purse Schedule'!$J$10:$L$10)</f>
        <v/>
      </c>
      <c r="I11" s="67">
        <f>Assumptions!$D$54*SUM('Purse Schedule'!$J$11:$L$11)</f>
        <v/>
      </c>
      <c r="J11" s="67">
        <f>Assumptions!$D$54*SUM('Purse Schedule'!$J$12:$L$12)</f>
        <v/>
      </c>
      <c r="K11" s="67">
        <f>Assumptions!$D$54*SUM('Purse Schedule'!$J$13:$L$13)</f>
        <v/>
      </c>
      <c r="L11" s="67">
        <f>Assumptions!$D$54*SUM('Purse Schedule'!$J$14:$L$14)</f>
        <v/>
      </c>
      <c r="M11" s="67">
        <f>Assumptions!$D$54*SUM('Purse Schedule'!$J$15:$L$15)</f>
        <v/>
      </c>
      <c r="N11" s="67">
        <f>Assumptions!$D$54*SUM('Purse Schedule'!$J$16:$L$16)</f>
        <v/>
      </c>
      <c r="O11" s="80">
        <f>SUM(B11:N11)</f>
        <v/>
      </c>
    </row>
    <row r="12" ht="15" customHeight="1" s="44">
      <c r="A12" s="46" t="inlineStr">
        <is>
          <t>Food trade profit</t>
        </is>
      </c>
      <c r="B12" s="67">
        <f>(B8-B6*Assumptions!$B$24)*Assumptions!$B$31</f>
        <v/>
      </c>
      <c r="C12" s="67">
        <f>(C8-C6*Assumptions!$B$24)*Assumptions!$B$31</f>
        <v/>
      </c>
      <c r="D12" s="67">
        <f>(D8-D6*Assumptions!$B$24)*Assumptions!$B$31</f>
        <v/>
      </c>
      <c r="E12" s="67">
        <f>(E8-E6*Assumptions!$B$24)*Assumptions!$B$31</f>
        <v/>
      </c>
      <c r="F12" s="67">
        <f>(F8-F6*Assumptions!$B$24)*Assumptions!$B$31</f>
        <v/>
      </c>
      <c r="G12" s="67">
        <f>(G8-G6*Assumptions!$B$24)*Assumptions!$B$31</f>
        <v/>
      </c>
      <c r="H12" s="67">
        <f>(H8-H6*Assumptions!$B$24)*Assumptions!$B$31</f>
        <v/>
      </c>
      <c r="I12" s="67">
        <f>(I8-I6*Assumptions!$B$24)*Assumptions!$B$31</f>
        <v/>
      </c>
      <c r="J12" s="67">
        <f>(J8-J6*Assumptions!$B$24)*Assumptions!$B$31</f>
        <v/>
      </c>
      <c r="K12" s="67">
        <f>(K8-K6*Assumptions!$B$24)*Assumptions!$B$31</f>
        <v/>
      </c>
      <c r="L12" s="67">
        <f>(L8-L6*Assumptions!$B$24)*Assumptions!$B$31</f>
        <v/>
      </c>
      <c r="M12" s="67">
        <f>(M8-M6*Assumptions!$B$24)*Assumptions!$B$31</f>
        <v/>
      </c>
      <c r="N12" s="67">
        <f>(N8-N6*Assumptions!$B$24)*Assumptions!$B$31</f>
        <v/>
      </c>
      <c r="O12" s="80">
        <f>SUM(B12:N12)</f>
        <v/>
      </c>
    </row>
    <row r="13" ht="15" customHeight="1" s="44">
      <c r="A13" s="47" t="inlineStr">
        <is>
          <t>Total income</t>
        </is>
      </c>
      <c r="B13" s="80">
        <f>SUM(B9:B12)</f>
        <v/>
      </c>
      <c r="C13" s="80">
        <f>SUM(C9:C12)</f>
        <v/>
      </c>
      <c r="D13" s="80">
        <f>SUM(D9:D12)</f>
        <v/>
      </c>
      <c r="E13" s="80">
        <f>SUM(E9:E12)</f>
        <v/>
      </c>
      <c r="F13" s="80">
        <f>SUM(F9:F12)</f>
        <v/>
      </c>
      <c r="G13" s="80">
        <f>SUM(G9:G12)</f>
        <v/>
      </c>
      <c r="H13" s="80">
        <f>SUM(H9:H12)</f>
        <v/>
      </c>
      <c r="I13" s="80">
        <f>SUM(I9:I12)</f>
        <v/>
      </c>
      <c r="J13" s="80">
        <f>SUM(J9:J12)</f>
        <v/>
      </c>
      <c r="K13" s="80">
        <f>SUM(K9:K12)</f>
        <v/>
      </c>
      <c r="L13" s="80">
        <f>SUM(L9:L12)</f>
        <v/>
      </c>
      <c r="M13" s="80">
        <f>SUM(M9:M12)</f>
        <v/>
      </c>
      <c r="N13" s="80">
        <f>SUM(N9:N12)</f>
        <v/>
      </c>
      <c r="O13" s="80">
        <f>SUM(B13:N13)</f>
        <v/>
      </c>
    </row>
    <row r="14" ht="15" customHeight="1" s="44">
      <c r="A14" s="46" t="inlineStr">
        <is>
          <t>Kennel upkeep</t>
        </is>
      </c>
      <c r="B14" s="67">
        <f>-B6*Assumptions!$B$23</f>
        <v/>
      </c>
      <c r="C14" s="67">
        <f>-C6*Assumptions!$B$23</f>
        <v/>
      </c>
      <c r="D14" s="67">
        <f>-D6*Assumptions!$B$23</f>
        <v/>
      </c>
      <c r="E14" s="67">
        <f>-E6*Assumptions!$B$23</f>
        <v/>
      </c>
      <c r="F14" s="67">
        <f>-F6*Assumptions!$B$23</f>
        <v/>
      </c>
      <c r="G14" s="67">
        <f>-G6*Assumptions!$B$23</f>
        <v/>
      </c>
      <c r="H14" s="67">
        <f>-H6*Assumptions!$B$23</f>
        <v/>
      </c>
      <c r="I14" s="67">
        <f>-I6*Assumptions!$B$23</f>
        <v/>
      </c>
      <c r="J14" s="67">
        <f>-J6*Assumptions!$B$23</f>
        <v/>
      </c>
      <c r="K14" s="67">
        <f>-K6*Assumptions!$B$23</f>
        <v/>
      </c>
      <c r="L14" s="67">
        <f>-L6*Assumptions!$B$23</f>
        <v/>
      </c>
      <c r="M14" s="67">
        <f>-M6*Assumptions!$B$23</f>
        <v/>
      </c>
      <c r="N14" s="67">
        <f>-N6*Assumptions!$B$23</f>
        <v/>
      </c>
      <c r="O14" s="80">
        <f>SUM(B14:N14)</f>
        <v/>
      </c>
    </row>
    <row r="15" ht="15" customHeight="1" s="44">
      <c r="A15" s="46" t="inlineStr">
        <is>
          <t>Food eaten (at avg price)</t>
        </is>
      </c>
      <c r="B15" s="67">
        <f>-B6*Assumptions!$B$24*(Assumptions!$B$29+Assumptions!$B$30)/2</f>
        <v/>
      </c>
      <c r="C15" s="67">
        <f>-C6*Assumptions!$B$24*(Assumptions!$B$29+Assumptions!$B$30)/2</f>
        <v/>
      </c>
      <c r="D15" s="67">
        <f>-D6*Assumptions!$B$24*(Assumptions!$B$29+Assumptions!$B$30)/2</f>
        <v/>
      </c>
      <c r="E15" s="67">
        <f>-E6*Assumptions!$B$24*(Assumptions!$B$29+Assumptions!$B$30)/2</f>
        <v/>
      </c>
      <c r="F15" s="67">
        <f>-F6*Assumptions!$B$24*(Assumptions!$B$29+Assumptions!$B$30)/2</f>
        <v/>
      </c>
      <c r="G15" s="67">
        <f>-G6*Assumptions!$B$24*(Assumptions!$B$29+Assumptions!$B$30)/2</f>
        <v/>
      </c>
      <c r="H15" s="67">
        <f>-H6*Assumptions!$B$24*(Assumptions!$B$29+Assumptions!$B$30)/2</f>
        <v/>
      </c>
      <c r="I15" s="67">
        <f>-I6*Assumptions!$B$24*(Assumptions!$B$29+Assumptions!$B$30)/2</f>
        <v/>
      </c>
      <c r="J15" s="67">
        <f>-J6*Assumptions!$B$24*(Assumptions!$B$29+Assumptions!$B$30)/2</f>
        <v/>
      </c>
      <c r="K15" s="67">
        <f>-K6*Assumptions!$B$24*(Assumptions!$B$29+Assumptions!$B$30)/2</f>
        <v/>
      </c>
      <c r="L15" s="67">
        <f>-L6*Assumptions!$B$24*(Assumptions!$B$29+Assumptions!$B$30)/2</f>
        <v/>
      </c>
      <c r="M15" s="67">
        <f>-M6*Assumptions!$B$24*(Assumptions!$B$29+Assumptions!$B$30)/2</f>
        <v/>
      </c>
      <c r="N15" s="67">
        <f>-N6*Assumptions!$B$24*(Assumptions!$B$29+Assumptions!$B$30)/2</f>
        <v/>
      </c>
      <c r="O15" s="80">
        <f>SUM(B15:N15)</f>
        <v/>
      </c>
    </row>
    <row r="16" ht="15" customHeight="1" s="44">
      <c r="A16" s="46" t="inlineStr">
        <is>
          <t>Fuel</t>
        </is>
      </c>
      <c r="B16" s="67">
        <f>-Assumptions!$B$25</f>
        <v/>
      </c>
      <c r="C16" s="67">
        <f>-Assumptions!$B$25</f>
        <v/>
      </c>
      <c r="D16" s="67">
        <f>-Assumptions!$B$25</f>
        <v/>
      </c>
      <c r="E16" s="67">
        <f>-Assumptions!$B$25</f>
        <v/>
      </c>
      <c r="F16" s="67">
        <f>-Assumptions!$B$25</f>
        <v/>
      </c>
      <c r="G16" s="67">
        <f>-Assumptions!$B$25</f>
        <v/>
      </c>
      <c r="H16" s="67">
        <f>-Assumptions!$B$25</f>
        <v/>
      </c>
      <c r="I16" s="67">
        <f>-Assumptions!$B$25</f>
        <v/>
      </c>
      <c r="J16" s="67">
        <f>-Assumptions!$B$25</f>
        <v/>
      </c>
      <c r="K16" s="67">
        <f>-Assumptions!$B$25</f>
        <v/>
      </c>
      <c r="L16" s="67">
        <f>-Assumptions!$B$25</f>
        <v/>
      </c>
      <c r="M16" s="67">
        <f>-Assumptions!$B$25</f>
        <v/>
      </c>
      <c r="N16" s="67">
        <f>-Assumptions!$B$25</f>
        <v/>
      </c>
      <c r="O16" s="80">
        <f>SUM(B16:N16)</f>
        <v/>
      </c>
    </row>
    <row r="17" ht="15" customHeight="1" s="44">
      <c r="A17" s="46" t="inlineStr">
        <is>
          <t>Trainer wage</t>
        </is>
      </c>
      <c r="B17" s="67">
        <f>-B7*Assumptions!$B$26</f>
        <v/>
      </c>
      <c r="C17" s="67">
        <f>-C7*Assumptions!$B$26</f>
        <v/>
      </c>
      <c r="D17" s="67">
        <f>-D7*Assumptions!$B$26</f>
        <v/>
      </c>
      <c r="E17" s="67">
        <f>-E7*Assumptions!$B$26</f>
        <v/>
      </c>
      <c r="F17" s="67">
        <f>-F7*Assumptions!$B$26</f>
        <v/>
      </c>
      <c r="G17" s="67">
        <f>-G7*Assumptions!$B$26</f>
        <v/>
      </c>
      <c r="H17" s="67">
        <f>-H7*Assumptions!$B$26</f>
        <v/>
      </c>
      <c r="I17" s="67">
        <f>-I7*Assumptions!$B$26</f>
        <v/>
      </c>
      <c r="J17" s="67">
        <f>-J7*Assumptions!$B$26</f>
        <v/>
      </c>
      <c r="K17" s="67">
        <f>-K7*Assumptions!$B$26</f>
        <v/>
      </c>
      <c r="L17" s="67">
        <f>-L7*Assumptions!$B$26</f>
        <v/>
      </c>
      <c r="M17" s="67">
        <f>-M7*Assumptions!$B$26</f>
        <v/>
      </c>
      <c r="N17" s="67">
        <f>-N7*Assumptions!$B$26</f>
        <v/>
      </c>
      <c r="O17" s="80">
        <f>SUM(B17:N17)</f>
        <v/>
      </c>
    </row>
    <row r="18" ht="15" customHeight="1" s="44">
      <c r="A18" s="47" t="inlineStr">
        <is>
          <t>Total costs</t>
        </is>
      </c>
      <c r="B18" s="80">
        <f>SUM(B14:B17)</f>
        <v/>
      </c>
      <c r="C18" s="80">
        <f>SUM(C14:C17)</f>
        <v/>
      </c>
      <c r="D18" s="80">
        <f>SUM(D14:D17)</f>
        <v/>
      </c>
      <c r="E18" s="80">
        <f>SUM(E14:E17)</f>
        <v/>
      </c>
      <c r="F18" s="80">
        <f>SUM(F14:F17)</f>
        <v/>
      </c>
      <c r="G18" s="80">
        <f>SUM(G14:G17)</f>
        <v/>
      </c>
      <c r="H18" s="80">
        <f>SUM(H14:H17)</f>
        <v/>
      </c>
      <c r="I18" s="80">
        <f>SUM(I14:I17)</f>
        <v/>
      </c>
      <c r="J18" s="80">
        <f>SUM(J14:J17)</f>
        <v/>
      </c>
      <c r="K18" s="80">
        <f>SUM(K14:K17)</f>
        <v/>
      </c>
      <c r="L18" s="80">
        <f>SUM(L14:L17)</f>
        <v/>
      </c>
      <c r="M18" s="80">
        <f>SUM(M14:M17)</f>
        <v/>
      </c>
      <c r="N18" s="80">
        <f>SUM(N14:N17)</f>
        <v/>
      </c>
      <c r="O18" s="80">
        <f>SUM(B18:N18)</f>
        <v/>
      </c>
    </row>
    <row r="19" ht="15" customHeight="1" s="44">
      <c r="A19" s="47" t="inlineStr">
        <is>
          <t>Net cash this week</t>
        </is>
      </c>
      <c r="B19" s="80">
        <f>B13+B18</f>
        <v/>
      </c>
      <c r="C19" s="80">
        <f>C13+C18</f>
        <v/>
      </c>
      <c r="D19" s="80">
        <f>D13+D18</f>
        <v/>
      </c>
      <c r="E19" s="80">
        <f>E13+E18</f>
        <v/>
      </c>
      <c r="F19" s="80">
        <f>F13+F18</f>
        <v/>
      </c>
      <c r="G19" s="80">
        <f>G13+G18</f>
        <v/>
      </c>
      <c r="H19" s="80">
        <f>H13+H18</f>
        <v/>
      </c>
      <c r="I19" s="80">
        <f>I13+I18</f>
        <v/>
      </c>
      <c r="J19" s="80">
        <f>J13+J18</f>
        <v/>
      </c>
      <c r="K19" s="80">
        <f>K13+K18</f>
        <v/>
      </c>
      <c r="L19" s="80">
        <f>L13+L18</f>
        <v/>
      </c>
      <c r="M19" s="80">
        <f>M13+M18</f>
        <v/>
      </c>
      <c r="N19" s="80">
        <f>N13+N18</f>
        <v/>
      </c>
      <c r="O19" s="80">
        <f>SUM(B19:N19)</f>
        <v/>
      </c>
    </row>
    <row r="20" ht="15" customHeight="1" s="44">
      <c r="A20" s="47" t="inlineStr">
        <is>
          <t>Cumulative cash</t>
        </is>
      </c>
      <c r="B20" s="80">
        <f>Assumptions!$B$35+B19</f>
        <v/>
      </c>
      <c r="C20" s="80">
        <f>B20+C19</f>
        <v/>
      </c>
      <c r="D20" s="80">
        <f>C20+D19</f>
        <v/>
      </c>
      <c r="E20" s="80">
        <f>D20+E19</f>
        <v/>
      </c>
      <c r="F20" s="80">
        <f>E20+F19</f>
        <v/>
      </c>
      <c r="G20" s="80">
        <f>F20+G19</f>
        <v/>
      </c>
      <c r="H20" s="80">
        <f>G20+H19</f>
        <v/>
      </c>
      <c r="I20" s="80">
        <f>H20+I19</f>
        <v/>
      </c>
      <c r="J20" s="80">
        <f>I20+J19</f>
        <v/>
      </c>
      <c r="K20" s="80">
        <f>J20+K19</f>
        <v/>
      </c>
      <c r="L20" s="80">
        <f>K20+L19</f>
        <v/>
      </c>
      <c r="M20" s="80">
        <f>L20+M19</f>
        <v/>
      </c>
      <c r="N20" s="80">
        <f>M20+N19</f>
        <v/>
      </c>
      <c r="O20" s="80">
        <f>N20</f>
        <v/>
      </c>
    </row>
    <row r="21" ht="15" customHeight="1" s="44">
      <c r="A21" s="46" t="inlineStr">
        <is>
          <t>Costs as % of income</t>
        </is>
      </c>
      <c r="B21" s="81">
        <f>IF(B13=0,0,-B18/B13)</f>
        <v/>
      </c>
      <c r="C21" s="81">
        <f>IF(C13=0,0,-C18/C13)</f>
        <v/>
      </c>
      <c r="D21" s="81">
        <f>IF(D13=0,0,-D18/D13)</f>
        <v/>
      </c>
      <c r="E21" s="81">
        <f>IF(E13=0,0,-E18/E13)</f>
        <v/>
      </c>
      <c r="F21" s="81">
        <f>IF(F13=0,0,-F18/F13)</f>
        <v/>
      </c>
      <c r="G21" s="81">
        <f>IF(G13=0,0,-G18/G13)</f>
        <v/>
      </c>
      <c r="H21" s="81">
        <f>IF(H13=0,0,-H18/H13)</f>
        <v/>
      </c>
      <c r="I21" s="81">
        <f>IF(I13=0,0,-I18/I13)</f>
        <v/>
      </c>
      <c r="J21" s="81">
        <f>IF(J13=0,0,-J18/J13)</f>
        <v/>
      </c>
      <c r="K21" s="81">
        <f>IF(K13=0,0,-K18/K13)</f>
        <v/>
      </c>
      <c r="L21" s="81">
        <f>IF(L13=0,0,-L18/L13)</f>
        <v/>
      </c>
      <c r="M21" s="81">
        <f>IF(M13=0,0,-M18/M13)</f>
        <v/>
      </c>
      <c r="N21" s="81">
        <f>IF(N13=0,0,-N18/N13)</f>
        <v/>
      </c>
      <c r="O21" s="82">
        <f>IF(O13=0,0,-O18/O13)</f>
        <v/>
      </c>
    </row>
    <row r="22" ht="15" customHeight="1" s="44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 s="44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7.35" customHeight="1" s="44">
      <c r="A24" s="45" t="inlineStr">
        <is>
          <t>Average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 s="44">
      <c r="A25" s="63" t="inlineStr">
        <is>
          <t>Line</t>
        </is>
      </c>
      <c r="B25" s="63" t="inlineStr">
        <is>
          <t>Wk 1</t>
        </is>
      </c>
      <c r="C25" s="63" t="inlineStr">
        <is>
          <t>Wk 2</t>
        </is>
      </c>
      <c r="D25" s="63" t="inlineStr">
        <is>
          <t>Wk 3</t>
        </is>
      </c>
      <c r="E25" s="63" t="inlineStr">
        <is>
          <t>Wk 4</t>
        </is>
      </c>
      <c r="F25" s="63" t="inlineStr">
        <is>
          <t>Wk 5</t>
        </is>
      </c>
      <c r="G25" s="63" t="inlineStr">
        <is>
          <t>Wk 6</t>
        </is>
      </c>
      <c r="H25" s="63" t="inlineStr">
        <is>
          <t>Wk 7</t>
        </is>
      </c>
      <c r="I25" s="63" t="inlineStr">
        <is>
          <t>Wk 8</t>
        </is>
      </c>
      <c r="J25" s="63" t="inlineStr">
        <is>
          <t>Wk 9</t>
        </is>
      </c>
      <c r="K25" s="63" t="inlineStr">
        <is>
          <t>Wk 10</t>
        </is>
      </c>
      <c r="L25" s="63" t="inlineStr">
        <is>
          <t>Wk 11</t>
        </is>
      </c>
      <c r="M25" s="63" t="inlineStr">
        <is>
          <t>Wk 12</t>
        </is>
      </c>
      <c r="N25" s="63" t="inlineStr">
        <is>
          <t>Wk 13</t>
        </is>
      </c>
      <c r="O25" s="63" t="inlineStr">
        <is>
          <t>Season</t>
        </is>
      </c>
    </row>
    <row r="26" ht="15" customHeight="1" s="44">
      <c r="A26" s="46" t="inlineStr">
        <is>
          <t>Dogs owned</t>
        </is>
      </c>
      <c r="B26" s="79">
        <f>Assumptions!$B$36</f>
        <v/>
      </c>
      <c r="C26" s="79">
        <f>Assumptions!$B$36</f>
        <v/>
      </c>
      <c r="D26" s="79">
        <f>Assumptions!$B$36+1</f>
        <v/>
      </c>
      <c r="E26" s="79">
        <f>Assumptions!$B$36+1</f>
        <v/>
      </c>
      <c r="F26" s="79">
        <f>Assumptions!$B$36+1</f>
        <v/>
      </c>
      <c r="G26" s="79">
        <f>Assumptions!$B$36+1</f>
        <v/>
      </c>
      <c r="H26" s="79">
        <f>Assumptions!$B$36+1</f>
        <v/>
      </c>
      <c r="I26" s="79">
        <f>Assumptions!$B$36+1</f>
        <v/>
      </c>
      <c r="J26" s="79">
        <f>Assumptions!$B$36+1</f>
        <v/>
      </c>
      <c r="K26" s="79">
        <f>Assumptions!$B$36+1</f>
        <v/>
      </c>
      <c r="L26" s="79">
        <f>Assumptions!$B$36+1</f>
        <v/>
      </c>
      <c r="M26" s="79">
        <f>Assumptions!$B$36+1</f>
        <v/>
      </c>
      <c r="N26" s="79">
        <f>Assumptions!$B$36+1</f>
        <v/>
      </c>
      <c r="O26" s="50" t="n"/>
    </row>
    <row r="27" ht="15" customHeight="1" s="44">
      <c r="A27" s="46" t="inlineStr">
        <is>
          <t>Trainer hired</t>
        </is>
      </c>
      <c r="B27" s="53" t="n">
        <v>0</v>
      </c>
      <c r="C27" s="53" t="n">
        <v>1</v>
      </c>
      <c r="D27" s="53" t="n">
        <v>1</v>
      </c>
      <c r="E27" s="53" t="n">
        <v>1</v>
      </c>
      <c r="F27" s="53" t="n">
        <v>1</v>
      </c>
      <c r="G27" s="53" t="n">
        <v>1</v>
      </c>
      <c r="H27" s="53" t="n">
        <v>1</v>
      </c>
      <c r="I27" s="53" t="n">
        <v>1</v>
      </c>
      <c r="J27" s="53" t="n">
        <v>1</v>
      </c>
      <c r="K27" s="53" t="n">
        <v>1</v>
      </c>
      <c r="L27" s="53" t="n">
        <v>1</v>
      </c>
      <c r="M27" s="53" t="n">
        <v>1</v>
      </c>
      <c r="N27" s="53" t="n">
        <v>1</v>
      </c>
      <c r="O27" s="50" t="n"/>
    </row>
    <row r="28" ht="15" customHeight="1" s="44">
      <c r="A28" s="46" t="inlineStr">
        <is>
          <t>Cargo capacity</t>
        </is>
      </c>
      <c r="B28" s="79">
        <f>Assumptions!$B$32</f>
        <v/>
      </c>
      <c r="C28" s="79">
        <f>Assumptions!$B$32</f>
        <v/>
      </c>
      <c r="D28" s="79">
        <f>Assumptions!$B$32</f>
        <v/>
      </c>
      <c r="E28" s="79">
        <f>Assumptions!$B$32</f>
        <v/>
      </c>
      <c r="F28" s="79">
        <f>Assumptions!$B$32</f>
        <v/>
      </c>
      <c r="G28" s="79">
        <f>Assumptions!$B$32</f>
        <v/>
      </c>
      <c r="H28" s="79">
        <f>Assumptions!$B$32</f>
        <v/>
      </c>
      <c r="I28" s="79">
        <f>Assumptions!$B$32</f>
        <v/>
      </c>
      <c r="J28" s="79">
        <f>Assumptions!$B$32</f>
        <v/>
      </c>
      <c r="K28" s="79">
        <f>Assumptions!$B$32</f>
        <v/>
      </c>
      <c r="L28" s="79">
        <f>Assumptions!$B$32</f>
        <v/>
      </c>
      <c r="M28" s="79">
        <f>Assumptions!$B$32</f>
        <v/>
      </c>
      <c r="N28" s="79">
        <f>Assumptions!$B$32</f>
        <v/>
      </c>
      <c r="O28" s="50" t="n"/>
    </row>
    <row r="29" ht="15" customHeight="1" s="44">
      <c r="A29" s="46" t="inlineStr">
        <is>
          <t>Bronze prize</t>
        </is>
      </c>
      <c r="B29" s="67">
        <f>Assumptions!$B$55*SUM('Purse Schedule'!$D$4:$F$4)</f>
        <v/>
      </c>
      <c r="C29" s="67">
        <f>Assumptions!$B$55*SUM('Purse Schedule'!$D$5:$F$5)</f>
        <v/>
      </c>
      <c r="D29" s="67">
        <f>Assumptions!$B$55*SUM('Purse Schedule'!$D$6:$F$6)</f>
        <v/>
      </c>
      <c r="E29" s="67">
        <f>Assumptions!$B$55*SUM('Purse Schedule'!$D$7:$F$7)</f>
        <v/>
      </c>
      <c r="F29" s="67">
        <f>Assumptions!$B$55*SUM('Purse Schedule'!$D$8:$F$8)</f>
        <v/>
      </c>
      <c r="G29" s="67">
        <f>Assumptions!$B$55*SUM('Purse Schedule'!$D$9:$F$9)</f>
        <v/>
      </c>
      <c r="H29" s="67">
        <f>Assumptions!$B$55*SUM('Purse Schedule'!$D$10:$F$10)</f>
        <v/>
      </c>
      <c r="I29" s="67">
        <f>Assumptions!$B$55*SUM('Purse Schedule'!$D$11:$F$11)</f>
        <v/>
      </c>
      <c r="J29" s="67">
        <f>Assumptions!$B$55*SUM('Purse Schedule'!$D$12:$F$12)</f>
        <v/>
      </c>
      <c r="K29" s="67">
        <f>Assumptions!$B$55*SUM('Purse Schedule'!$D$13:$F$13)</f>
        <v/>
      </c>
      <c r="L29" s="67">
        <f>Assumptions!$B$55*SUM('Purse Schedule'!$D$14:$F$14)</f>
        <v/>
      </c>
      <c r="M29" s="67">
        <f>Assumptions!$B$55*SUM('Purse Schedule'!$D$15:$F$15)</f>
        <v/>
      </c>
      <c r="N29" s="67">
        <f>Assumptions!$B$55*SUM('Purse Schedule'!$D$16:$F$16)</f>
        <v/>
      </c>
      <c r="O29" s="80">
        <f>SUM(B29:N29)</f>
        <v/>
      </c>
    </row>
    <row r="30" ht="15" customHeight="1" s="44">
      <c r="A30" s="46" t="inlineStr">
        <is>
          <t>Silver prize</t>
        </is>
      </c>
      <c r="B30" s="67">
        <f>Assumptions!$C$55*SUM('Purse Schedule'!$G$4:$I$4)</f>
        <v/>
      </c>
      <c r="C30" s="67">
        <f>Assumptions!$C$55*SUM('Purse Schedule'!$G$5:$I$5)</f>
        <v/>
      </c>
      <c r="D30" s="67">
        <f>Assumptions!$C$55*SUM('Purse Schedule'!$G$6:$I$6)</f>
        <v/>
      </c>
      <c r="E30" s="67">
        <f>Assumptions!$C$55*SUM('Purse Schedule'!$G$7:$I$7)</f>
        <v/>
      </c>
      <c r="F30" s="67">
        <f>Assumptions!$C$55*SUM('Purse Schedule'!$G$8:$I$8)</f>
        <v/>
      </c>
      <c r="G30" s="67">
        <f>Assumptions!$C$55*SUM('Purse Schedule'!$G$9:$I$9)</f>
        <v/>
      </c>
      <c r="H30" s="67">
        <f>Assumptions!$C$55*SUM('Purse Schedule'!$G$10:$I$10)</f>
        <v/>
      </c>
      <c r="I30" s="67">
        <f>Assumptions!$C$55*SUM('Purse Schedule'!$G$11:$I$11)</f>
        <v/>
      </c>
      <c r="J30" s="67">
        <f>Assumptions!$C$55*SUM('Purse Schedule'!$G$12:$I$12)</f>
        <v/>
      </c>
      <c r="K30" s="67">
        <f>Assumptions!$C$55*SUM('Purse Schedule'!$G$13:$I$13)</f>
        <v/>
      </c>
      <c r="L30" s="67">
        <f>Assumptions!$C$55*SUM('Purse Schedule'!$G$14:$I$14)</f>
        <v/>
      </c>
      <c r="M30" s="67">
        <f>Assumptions!$C$55*SUM('Purse Schedule'!$G$15:$I$15)</f>
        <v/>
      </c>
      <c r="N30" s="67">
        <f>Assumptions!$C$55*SUM('Purse Schedule'!$G$16:$I$16)</f>
        <v/>
      </c>
      <c r="O30" s="80">
        <f>SUM(B30:N30)</f>
        <v/>
      </c>
    </row>
    <row r="31" ht="15" customHeight="1" s="44">
      <c r="A31" s="46" t="inlineStr">
        <is>
          <t>Gold prize</t>
        </is>
      </c>
      <c r="B31" s="67">
        <f>Assumptions!$D$55*SUM('Purse Schedule'!$J$4:$L$4)</f>
        <v/>
      </c>
      <c r="C31" s="67">
        <f>Assumptions!$D$55*SUM('Purse Schedule'!$J$5:$L$5)</f>
        <v/>
      </c>
      <c r="D31" s="67">
        <f>Assumptions!$D$55*SUM('Purse Schedule'!$J$6:$L$6)</f>
        <v/>
      </c>
      <c r="E31" s="67">
        <f>Assumptions!$D$55*SUM('Purse Schedule'!$J$7:$L$7)</f>
        <v/>
      </c>
      <c r="F31" s="67">
        <f>Assumptions!$D$55*SUM('Purse Schedule'!$J$8:$L$8)</f>
        <v/>
      </c>
      <c r="G31" s="67">
        <f>Assumptions!$D$55*SUM('Purse Schedule'!$J$9:$L$9)</f>
        <v/>
      </c>
      <c r="H31" s="67">
        <f>Assumptions!$D$55*SUM('Purse Schedule'!$J$10:$L$10)</f>
        <v/>
      </c>
      <c r="I31" s="67">
        <f>Assumptions!$D$55*SUM('Purse Schedule'!$J$11:$L$11)</f>
        <v/>
      </c>
      <c r="J31" s="67">
        <f>Assumptions!$D$55*SUM('Purse Schedule'!$J$12:$L$12)</f>
        <v/>
      </c>
      <c r="K31" s="67">
        <f>Assumptions!$D$55*SUM('Purse Schedule'!$J$13:$L$13)</f>
        <v/>
      </c>
      <c r="L31" s="67">
        <f>Assumptions!$D$55*SUM('Purse Schedule'!$J$14:$L$14)</f>
        <v/>
      </c>
      <c r="M31" s="67">
        <f>Assumptions!$D$55*SUM('Purse Schedule'!$J$15:$L$15)</f>
        <v/>
      </c>
      <c r="N31" s="67">
        <f>Assumptions!$D$55*SUM('Purse Schedule'!$J$16:$L$16)</f>
        <v/>
      </c>
      <c r="O31" s="80">
        <f>SUM(B31:N31)</f>
        <v/>
      </c>
    </row>
    <row r="32" ht="15" customHeight="1" s="44">
      <c r="A32" s="46" t="inlineStr">
        <is>
          <t>Food trade profit</t>
        </is>
      </c>
      <c r="B32" s="67">
        <f>(B28-B26*Assumptions!$B$24)*Assumptions!$B$31</f>
        <v/>
      </c>
      <c r="C32" s="67">
        <f>(C28-C26*Assumptions!$B$24)*Assumptions!$B$31</f>
        <v/>
      </c>
      <c r="D32" s="67">
        <f>(D28-D26*Assumptions!$B$24)*Assumptions!$B$31</f>
        <v/>
      </c>
      <c r="E32" s="67">
        <f>(E28-E26*Assumptions!$B$24)*Assumptions!$B$31</f>
        <v/>
      </c>
      <c r="F32" s="67">
        <f>(F28-F26*Assumptions!$B$24)*Assumptions!$B$31</f>
        <v/>
      </c>
      <c r="G32" s="67">
        <f>(G28-G26*Assumptions!$B$24)*Assumptions!$B$31</f>
        <v/>
      </c>
      <c r="H32" s="67">
        <f>(H28-H26*Assumptions!$B$24)*Assumptions!$B$31</f>
        <v/>
      </c>
      <c r="I32" s="67">
        <f>(I28-I26*Assumptions!$B$24)*Assumptions!$B$31</f>
        <v/>
      </c>
      <c r="J32" s="67">
        <f>(J28-J26*Assumptions!$B$24)*Assumptions!$B$31</f>
        <v/>
      </c>
      <c r="K32" s="67">
        <f>(K28-K26*Assumptions!$B$24)*Assumptions!$B$31</f>
        <v/>
      </c>
      <c r="L32" s="67">
        <f>(L28-L26*Assumptions!$B$24)*Assumptions!$B$31</f>
        <v/>
      </c>
      <c r="M32" s="67">
        <f>(M28-M26*Assumptions!$B$24)*Assumptions!$B$31</f>
        <v/>
      </c>
      <c r="N32" s="67">
        <f>(N28-N26*Assumptions!$B$24)*Assumptions!$B$31</f>
        <v/>
      </c>
      <c r="O32" s="80">
        <f>SUM(B32:N32)</f>
        <v/>
      </c>
    </row>
    <row r="33" ht="15" customHeight="1" s="44">
      <c r="A33" s="47" t="inlineStr">
        <is>
          <t>Total income</t>
        </is>
      </c>
      <c r="B33" s="80">
        <f>SUM(B29:B32)</f>
        <v/>
      </c>
      <c r="C33" s="80">
        <f>SUM(C29:C32)</f>
        <v/>
      </c>
      <c r="D33" s="80">
        <f>SUM(D29:D32)</f>
        <v/>
      </c>
      <c r="E33" s="80">
        <f>SUM(E29:E32)</f>
        <v/>
      </c>
      <c r="F33" s="80">
        <f>SUM(F29:F32)</f>
        <v/>
      </c>
      <c r="G33" s="80">
        <f>SUM(G29:G32)</f>
        <v/>
      </c>
      <c r="H33" s="80">
        <f>SUM(H29:H32)</f>
        <v/>
      </c>
      <c r="I33" s="80">
        <f>SUM(I29:I32)</f>
        <v/>
      </c>
      <c r="J33" s="80">
        <f>SUM(J29:J32)</f>
        <v/>
      </c>
      <c r="K33" s="80">
        <f>SUM(K29:K32)</f>
        <v/>
      </c>
      <c r="L33" s="80">
        <f>SUM(L29:L32)</f>
        <v/>
      </c>
      <c r="M33" s="80">
        <f>SUM(M29:M32)</f>
        <v/>
      </c>
      <c r="N33" s="80">
        <f>SUM(N29:N32)</f>
        <v/>
      </c>
      <c r="O33" s="80">
        <f>SUM(B33:N33)</f>
        <v/>
      </c>
    </row>
    <row r="34" ht="15" customHeight="1" s="44">
      <c r="A34" s="46" t="inlineStr">
        <is>
          <t>Kennel upkeep</t>
        </is>
      </c>
      <c r="B34" s="67">
        <f>-B26*Assumptions!$B$23</f>
        <v/>
      </c>
      <c r="C34" s="67">
        <f>-C26*Assumptions!$B$23</f>
        <v/>
      </c>
      <c r="D34" s="67">
        <f>-D26*Assumptions!$B$23</f>
        <v/>
      </c>
      <c r="E34" s="67">
        <f>-E26*Assumptions!$B$23</f>
        <v/>
      </c>
      <c r="F34" s="67">
        <f>-F26*Assumptions!$B$23</f>
        <v/>
      </c>
      <c r="G34" s="67">
        <f>-G26*Assumptions!$B$23</f>
        <v/>
      </c>
      <c r="H34" s="67">
        <f>-H26*Assumptions!$B$23</f>
        <v/>
      </c>
      <c r="I34" s="67">
        <f>-I26*Assumptions!$B$23</f>
        <v/>
      </c>
      <c r="J34" s="67">
        <f>-J26*Assumptions!$B$23</f>
        <v/>
      </c>
      <c r="K34" s="67">
        <f>-K26*Assumptions!$B$23</f>
        <v/>
      </c>
      <c r="L34" s="67">
        <f>-L26*Assumptions!$B$23</f>
        <v/>
      </c>
      <c r="M34" s="67">
        <f>-M26*Assumptions!$B$23</f>
        <v/>
      </c>
      <c r="N34" s="67">
        <f>-N26*Assumptions!$B$23</f>
        <v/>
      </c>
      <c r="O34" s="80">
        <f>SUM(B34:N34)</f>
        <v/>
      </c>
    </row>
    <row r="35" ht="15" customHeight="1" s="44">
      <c r="A35" s="46" t="inlineStr">
        <is>
          <t>Food eaten (at avg price)</t>
        </is>
      </c>
      <c r="B35" s="67">
        <f>-B26*Assumptions!$B$24*(Assumptions!$B$29+Assumptions!$B$30)/2</f>
        <v/>
      </c>
      <c r="C35" s="67">
        <f>-C26*Assumptions!$B$24*(Assumptions!$B$29+Assumptions!$B$30)/2</f>
        <v/>
      </c>
      <c r="D35" s="67">
        <f>-D26*Assumptions!$B$24*(Assumptions!$B$29+Assumptions!$B$30)/2</f>
        <v/>
      </c>
      <c r="E35" s="67">
        <f>-E26*Assumptions!$B$24*(Assumptions!$B$29+Assumptions!$B$30)/2</f>
        <v/>
      </c>
      <c r="F35" s="67">
        <f>-F26*Assumptions!$B$24*(Assumptions!$B$29+Assumptions!$B$30)/2</f>
        <v/>
      </c>
      <c r="G35" s="67">
        <f>-G26*Assumptions!$B$24*(Assumptions!$B$29+Assumptions!$B$30)/2</f>
        <v/>
      </c>
      <c r="H35" s="67">
        <f>-H26*Assumptions!$B$24*(Assumptions!$B$29+Assumptions!$B$30)/2</f>
        <v/>
      </c>
      <c r="I35" s="67">
        <f>-I26*Assumptions!$B$24*(Assumptions!$B$29+Assumptions!$B$30)/2</f>
        <v/>
      </c>
      <c r="J35" s="67">
        <f>-J26*Assumptions!$B$24*(Assumptions!$B$29+Assumptions!$B$30)/2</f>
        <v/>
      </c>
      <c r="K35" s="67">
        <f>-K26*Assumptions!$B$24*(Assumptions!$B$29+Assumptions!$B$30)/2</f>
        <v/>
      </c>
      <c r="L35" s="67">
        <f>-L26*Assumptions!$B$24*(Assumptions!$B$29+Assumptions!$B$30)/2</f>
        <v/>
      </c>
      <c r="M35" s="67">
        <f>-M26*Assumptions!$B$24*(Assumptions!$B$29+Assumptions!$B$30)/2</f>
        <v/>
      </c>
      <c r="N35" s="67">
        <f>-N26*Assumptions!$B$24*(Assumptions!$B$29+Assumptions!$B$30)/2</f>
        <v/>
      </c>
      <c r="O35" s="80">
        <f>SUM(B35:N35)</f>
        <v/>
      </c>
    </row>
    <row r="36" ht="15" customHeight="1" s="44">
      <c r="A36" s="46" t="inlineStr">
        <is>
          <t>Fuel</t>
        </is>
      </c>
      <c r="B36" s="67">
        <f>-Assumptions!$B$25</f>
        <v/>
      </c>
      <c r="C36" s="67">
        <f>-Assumptions!$B$25</f>
        <v/>
      </c>
      <c r="D36" s="67">
        <f>-Assumptions!$B$25</f>
        <v/>
      </c>
      <c r="E36" s="67">
        <f>-Assumptions!$B$25</f>
        <v/>
      </c>
      <c r="F36" s="67">
        <f>-Assumptions!$B$25</f>
        <v/>
      </c>
      <c r="G36" s="67">
        <f>-Assumptions!$B$25</f>
        <v/>
      </c>
      <c r="H36" s="67">
        <f>-Assumptions!$B$25</f>
        <v/>
      </c>
      <c r="I36" s="67">
        <f>-Assumptions!$B$25</f>
        <v/>
      </c>
      <c r="J36" s="67">
        <f>-Assumptions!$B$25</f>
        <v/>
      </c>
      <c r="K36" s="67">
        <f>-Assumptions!$B$25</f>
        <v/>
      </c>
      <c r="L36" s="67">
        <f>-Assumptions!$B$25</f>
        <v/>
      </c>
      <c r="M36" s="67">
        <f>-Assumptions!$B$25</f>
        <v/>
      </c>
      <c r="N36" s="67">
        <f>-Assumptions!$B$25</f>
        <v/>
      </c>
      <c r="O36" s="80">
        <f>SUM(B36:N36)</f>
        <v/>
      </c>
    </row>
    <row r="37" ht="15" customHeight="1" s="44">
      <c r="A37" s="46" t="inlineStr">
        <is>
          <t>Trainer wage</t>
        </is>
      </c>
      <c r="B37" s="67">
        <f>-B27*Assumptions!$B$26</f>
        <v/>
      </c>
      <c r="C37" s="67">
        <f>-C27*Assumptions!$B$26</f>
        <v/>
      </c>
      <c r="D37" s="67">
        <f>-D27*Assumptions!$B$26</f>
        <v/>
      </c>
      <c r="E37" s="67">
        <f>-E27*Assumptions!$B$26</f>
        <v/>
      </c>
      <c r="F37" s="67">
        <f>-F27*Assumptions!$B$26</f>
        <v/>
      </c>
      <c r="G37" s="67">
        <f>-G27*Assumptions!$B$26</f>
        <v/>
      </c>
      <c r="H37" s="67">
        <f>-H27*Assumptions!$B$26</f>
        <v/>
      </c>
      <c r="I37" s="67">
        <f>-I27*Assumptions!$B$26</f>
        <v/>
      </c>
      <c r="J37" s="67">
        <f>-J27*Assumptions!$B$26</f>
        <v/>
      </c>
      <c r="K37" s="67">
        <f>-K27*Assumptions!$B$26</f>
        <v/>
      </c>
      <c r="L37" s="67">
        <f>-L27*Assumptions!$B$26</f>
        <v/>
      </c>
      <c r="M37" s="67">
        <f>-M27*Assumptions!$B$26</f>
        <v/>
      </c>
      <c r="N37" s="67">
        <f>-N27*Assumptions!$B$26</f>
        <v/>
      </c>
      <c r="O37" s="80">
        <f>SUM(B37:N37)</f>
        <v/>
      </c>
    </row>
    <row r="38" ht="15" customHeight="1" s="44">
      <c r="A38" s="47" t="inlineStr">
        <is>
          <t>Total costs</t>
        </is>
      </c>
      <c r="B38" s="80">
        <f>SUM(B34:B37)</f>
        <v/>
      </c>
      <c r="C38" s="80">
        <f>SUM(C34:C37)</f>
        <v/>
      </c>
      <c r="D38" s="80">
        <f>SUM(D34:D37)</f>
        <v/>
      </c>
      <c r="E38" s="80">
        <f>SUM(E34:E37)</f>
        <v/>
      </c>
      <c r="F38" s="80">
        <f>SUM(F34:F37)</f>
        <v/>
      </c>
      <c r="G38" s="80">
        <f>SUM(G34:G37)</f>
        <v/>
      </c>
      <c r="H38" s="80">
        <f>SUM(H34:H37)</f>
        <v/>
      </c>
      <c r="I38" s="80">
        <f>SUM(I34:I37)</f>
        <v/>
      </c>
      <c r="J38" s="80">
        <f>SUM(J34:J37)</f>
        <v/>
      </c>
      <c r="K38" s="80">
        <f>SUM(K34:K37)</f>
        <v/>
      </c>
      <c r="L38" s="80">
        <f>SUM(L34:L37)</f>
        <v/>
      </c>
      <c r="M38" s="80">
        <f>SUM(M34:M37)</f>
        <v/>
      </c>
      <c r="N38" s="80">
        <f>SUM(N34:N37)</f>
        <v/>
      </c>
      <c r="O38" s="80">
        <f>SUM(B38:N38)</f>
        <v/>
      </c>
    </row>
    <row r="39" ht="15" customHeight="1" s="44">
      <c r="A39" s="47" t="inlineStr">
        <is>
          <t>Net cash this week</t>
        </is>
      </c>
      <c r="B39" s="80">
        <f>B33+B38</f>
        <v/>
      </c>
      <c r="C39" s="80">
        <f>C33+C38</f>
        <v/>
      </c>
      <c r="D39" s="80">
        <f>D33+D38</f>
        <v/>
      </c>
      <c r="E39" s="80">
        <f>E33+E38</f>
        <v/>
      </c>
      <c r="F39" s="80">
        <f>F33+F38</f>
        <v/>
      </c>
      <c r="G39" s="80">
        <f>G33+G38</f>
        <v/>
      </c>
      <c r="H39" s="80">
        <f>H33+H38</f>
        <v/>
      </c>
      <c r="I39" s="80">
        <f>I33+I38</f>
        <v/>
      </c>
      <c r="J39" s="80">
        <f>J33+J38</f>
        <v/>
      </c>
      <c r="K39" s="80">
        <f>K33+K38</f>
        <v/>
      </c>
      <c r="L39" s="80">
        <f>L33+L38</f>
        <v/>
      </c>
      <c r="M39" s="80">
        <f>M33+M38</f>
        <v/>
      </c>
      <c r="N39" s="80">
        <f>N33+N38</f>
        <v/>
      </c>
      <c r="O39" s="80">
        <f>SUM(B39:N39)</f>
        <v/>
      </c>
    </row>
    <row r="40" ht="15" customHeight="1" s="44">
      <c r="A40" s="47" t="inlineStr">
        <is>
          <t>Cumulative cash</t>
        </is>
      </c>
      <c r="B40" s="80">
        <f>Assumptions!$B$35+B39</f>
        <v/>
      </c>
      <c r="C40" s="80">
        <f>B40+C39</f>
        <v/>
      </c>
      <c r="D40" s="80">
        <f>C40+D39</f>
        <v/>
      </c>
      <c r="E40" s="80">
        <f>D40+E39</f>
        <v/>
      </c>
      <c r="F40" s="80">
        <f>E40+F39</f>
        <v/>
      </c>
      <c r="G40" s="80">
        <f>F40+G39</f>
        <v/>
      </c>
      <c r="H40" s="80">
        <f>G40+H39</f>
        <v/>
      </c>
      <c r="I40" s="80">
        <f>H40+I39</f>
        <v/>
      </c>
      <c r="J40" s="80">
        <f>I40+J39</f>
        <v/>
      </c>
      <c r="K40" s="80">
        <f>J40+K39</f>
        <v/>
      </c>
      <c r="L40" s="80">
        <f>K40+L39</f>
        <v/>
      </c>
      <c r="M40" s="80">
        <f>L40+M39</f>
        <v/>
      </c>
      <c r="N40" s="80">
        <f>M40+N39</f>
        <v/>
      </c>
      <c r="O40" s="80">
        <f>N40</f>
        <v/>
      </c>
    </row>
    <row r="41" ht="15" customHeight="1" s="44">
      <c r="A41" s="46" t="inlineStr">
        <is>
          <t>Costs as % of income</t>
        </is>
      </c>
      <c r="B41" s="81">
        <f>IF(B33=0,0,-B38/B33)</f>
        <v/>
      </c>
      <c r="C41" s="81">
        <f>IF(C33=0,0,-C38/C33)</f>
        <v/>
      </c>
      <c r="D41" s="81">
        <f>IF(D33=0,0,-D38/D33)</f>
        <v/>
      </c>
      <c r="E41" s="81">
        <f>IF(E33=0,0,-E38/E33)</f>
        <v/>
      </c>
      <c r="F41" s="81">
        <f>IF(F33=0,0,-F38/F33)</f>
        <v/>
      </c>
      <c r="G41" s="81">
        <f>IF(G33=0,0,-G38/G33)</f>
        <v/>
      </c>
      <c r="H41" s="81">
        <f>IF(H33=0,0,-H38/H33)</f>
        <v/>
      </c>
      <c r="I41" s="81">
        <f>IF(I33=0,0,-I38/I33)</f>
        <v/>
      </c>
      <c r="J41" s="81">
        <f>IF(J33=0,0,-J38/J33)</f>
        <v/>
      </c>
      <c r="K41" s="81">
        <f>IF(K33=0,0,-K38/K33)</f>
        <v/>
      </c>
      <c r="L41" s="81">
        <f>IF(L33=0,0,-L38/L33)</f>
        <v/>
      </c>
      <c r="M41" s="81">
        <f>IF(M33=0,0,-M38/M33)</f>
        <v/>
      </c>
      <c r="N41" s="81">
        <f>IF(N33=0,0,-N38/N33)</f>
        <v/>
      </c>
      <c r="O41" s="82">
        <f>IF(O33=0,0,-O38/O33)</f>
        <v/>
      </c>
    </row>
    <row r="42" ht="15" customHeight="1" s="44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</row>
    <row r="43" ht="15" customHeight="1" s="44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</row>
    <row r="44" ht="17.35" customHeight="1" s="44">
      <c r="A44" s="45" t="inlineStr">
        <is>
          <t>Aggressive</t>
        </is>
      </c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</row>
    <row r="45" ht="15" customHeight="1" s="44">
      <c r="A45" s="63" t="inlineStr">
        <is>
          <t>Line</t>
        </is>
      </c>
      <c r="B45" s="63" t="inlineStr">
        <is>
          <t>Wk 1</t>
        </is>
      </c>
      <c r="C45" s="63" t="inlineStr">
        <is>
          <t>Wk 2</t>
        </is>
      </c>
      <c r="D45" s="63" t="inlineStr">
        <is>
          <t>Wk 3</t>
        </is>
      </c>
      <c r="E45" s="63" t="inlineStr">
        <is>
          <t>Wk 4</t>
        </is>
      </c>
      <c r="F45" s="63" t="inlineStr">
        <is>
          <t>Wk 5</t>
        </is>
      </c>
      <c r="G45" s="63" t="inlineStr">
        <is>
          <t>Wk 6</t>
        </is>
      </c>
      <c r="H45" s="63" t="inlineStr">
        <is>
          <t>Wk 7</t>
        </is>
      </c>
      <c r="I45" s="63" t="inlineStr">
        <is>
          <t>Wk 8</t>
        </is>
      </c>
      <c r="J45" s="63" t="inlineStr">
        <is>
          <t>Wk 9</t>
        </is>
      </c>
      <c r="K45" s="63" t="inlineStr">
        <is>
          <t>Wk 10</t>
        </is>
      </c>
      <c r="L45" s="63" t="inlineStr">
        <is>
          <t>Wk 11</t>
        </is>
      </c>
      <c r="M45" s="63" t="inlineStr">
        <is>
          <t>Wk 12</t>
        </is>
      </c>
      <c r="N45" s="63" t="inlineStr">
        <is>
          <t>Wk 13</t>
        </is>
      </c>
      <c r="O45" s="63" t="inlineStr">
        <is>
          <t>Season</t>
        </is>
      </c>
    </row>
    <row r="46" ht="15" customHeight="1" s="44">
      <c r="A46" s="46" t="inlineStr">
        <is>
          <t>Dogs owned</t>
        </is>
      </c>
      <c r="B46" s="79">
        <f>Assumptions!$B$36</f>
        <v/>
      </c>
      <c r="C46" s="79">
        <f>Assumptions!$B$36</f>
        <v/>
      </c>
      <c r="D46" s="79">
        <f>Assumptions!$B$36+1</f>
        <v/>
      </c>
      <c r="E46" s="79">
        <f>Assumptions!$B$36+1</f>
        <v/>
      </c>
      <c r="F46" s="79">
        <f>Assumptions!$B$36+1</f>
        <v/>
      </c>
      <c r="G46" s="79">
        <f>Assumptions!$B$36+1</f>
        <v/>
      </c>
      <c r="H46" s="79">
        <f>Assumptions!$B$36+1</f>
        <v/>
      </c>
      <c r="I46" s="79">
        <f>Assumptions!$B$36+1</f>
        <v/>
      </c>
      <c r="J46" s="79">
        <f>Assumptions!$B$36+1</f>
        <v/>
      </c>
      <c r="K46" s="79">
        <f>Assumptions!$B$36+1</f>
        <v/>
      </c>
      <c r="L46" s="79">
        <f>Assumptions!$B$36+1</f>
        <v/>
      </c>
      <c r="M46" s="79">
        <f>Assumptions!$B$36+1</f>
        <v/>
      </c>
      <c r="N46" s="79">
        <f>Assumptions!$B$36+1</f>
        <v/>
      </c>
      <c r="O46" s="50" t="n"/>
    </row>
    <row r="47" ht="15" customHeight="1" s="44">
      <c r="A47" s="46" t="inlineStr">
        <is>
          <t>Trainer hired</t>
        </is>
      </c>
      <c r="B47" s="53" t="n">
        <v>0</v>
      </c>
      <c r="C47" s="53" t="n">
        <v>1</v>
      </c>
      <c r="D47" s="53" t="n">
        <v>1</v>
      </c>
      <c r="E47" s="53" t="n">
        <v>1</v>
      </c>
      <c r="F47" s="53" t="n">
        <v>1</v>
      </c>
      <c r="G47" s="53" t="n">
        <v>1</v>
      </c>
      <c r="H47" s="53" t="n">
        <v>1</v>
      </c>
      <c r="I47" s="53" t="n">
        <v>1</v>
      </c>
      <c r="J47" s="53" t="n">
        <v>1</v>
      </c>
      <c r="K47" s="53" t="n">
        <v>1</v>
      </c>
      <c r="L47" s="53" t="n">
        <v>1</v>
      </c>
      <c r="M47" s="53" t="n">
        <v>1</v>
      </c>
      <c r="N47" s="53" t="n">
        <v>1</v>
      </c>
      <c r="O47" s="50" t="n"/>
    </row>
    <row r="48" ht="15" customHeight="1" s="44">
      <c r="A48" s="46" t="inlineStr">
        <is>
          <t>Cargo capacity</t>
        </is>
      </c>
      <c r="B48" s="79">
        <f>Assumptions!$B$32</f>
        <v/>
      </c>
      <c r="C48" s="79">
        <f>Assumptions!$B$32</f>
        <v/>
      </c>
      <c r="D48" s="79">
        <f>Assumptions!$B$32</f>
        <v/>
      </c>
      <c r="E48" s="79">
        <f>Assumptions!$B$32+Assumptions!$B$33</f>
        <v/>
      </c>
      <c r="F48" s="79">
        <f>Assumptions!$B$32+Assumptions!$B$33</f>
        <v/>
      </c>
      <c r="G48" s="79">
        <f>Assumptions!$B$32+Assumptions!$B$33</f>
        <v/>
      </c>
      <c r="H48" s="79">
        <f>Assumptions!$B$32+Assumptions!$B$33</f>
        <v/>
      </c>
      <c r="I48" s="79">
        <f>Assumptions!$B$32+Assumptions!$B$33</f>
        <v/>
      </c>
      <c r="J48" s="79">
        <f>Assumptions!$B$32+Assumptions!$B$33</f>
        <v/>
      </c>
      <c r="K48" s="79">
        <f>Assumptions!$B$32+Assumptions!$B$33</f>
        <v/>
      </c>
      <c r="L48" s="79">
        <f>Assumptions!$B$32+Assumptions!$B$33</f>
        <v/>
      </c>
      <c r="M48" s="79">
        <f>Assumptions!$B$32+Assumptions!$B$33</f>
        <v/>
      </c>
      <c r="N48" s="79">
        <f>Assumptions!$B$32+Assumptions!$B$33</f>
        <v/>
      </c>
      <c r="O48" s="50" t="n"/>
    </row>
    <row r="49" ht="15" customHeight="1" s="44">
      <c r="A49" s="46" t="inlineStr">
        <is>
          <t>Bronze prize</t>
        </is>
      </c>
      <c r="B49" s="67">
        <f>Assumptions!$B$56*SUM('Purse Schedule'!$D$4:$F$4)</f>
        <v/>
      </c>
      <c r="C49" s="67">
        <f>Assumptions!$B$56*SUM('Purse Schedule'!$D$5:$F$5)</f>
        <v/>
      </c>
      <c r="D49" s="67">
        <f>Assumptions!$B$56*SUM('Purse Schedule'!$D$6:$F$6)</f>
        <v/>
      </c>
      <c r="E49" s="67">
        <f>Assumptions!$B$56*SUM('Purse Schedule'!$D$7:$F$7)</f>
        <v/>
      </c>
      <c r="F49" s="67">
        <f>Assumptions!$B$56*SUM('Purse Schedule'!$D$8:$F$8)</f>
        <v/>
      </c>
      <c r="G49" s="67">
        <f>Assumptions!$B$56*SUM('Purse Schedule'!$D$9:$F$9)</f>
        <v/>
      </c>
      <c r="H49" s="67">
        <f>Assumptions!$B$56*SUM('Purse Schedule'!$D$10:$F$10)</f>
        <v/>
      </c>
      <c r="I49" s="67">
        <f>Assumptions!$B$56*SUM('Purse Schedule'!$D$11:$F$11)</f>
        <v/>
      </c>
      <c r="J49" s="67">
        <f>Assumptions!$B$56*SUM('Purse Schedule'!$D$12:$F$12)</f>
        <v/>
      </c>
      <c r="K49" s="67">
        <f>Assumptions!$B$56*SUM('Purse Schedule'!$D$13:$F$13)</f>
        <v/>
      </c>
      <c r="L49" s="67">
        <f>Assumptions!$B$56*SUM('Purse Schedule'!$D$14:$F$14)</f>
        <v/>
      </c>
      <c r="M49" s="67">
        <f>Assumptions!$B$56*SUM('Purse Schedule'!$D$15:$F$15)</f>
        <v/>
      </c>
      <c r="N49" s="67">
        <f>Assumptions!$B$56*SUM('Purse Schedule'!$D$16:$F$16)</f>
        <v/>
      </c>
      <c r="O49" s="80">
        <f>SUM(B49:N49)</f>
        <v/>
      </c>
    </row>
    <row r="50" ht="15" customHeight="1" s="44">
      <c r="A50" s="46" t="inlineStr">
        <is>
          <t>Silver prize</t>
        </is>
      </c>
      <c r="B50" s="67">
        <f>Assumptions!$C$56*SUM('Purse Schedule'!$G$4:$I$4)</f>
        <v/>
      </c>
      <c r="C50" s="67">
        <f>Assumptions!$C$56*SUM('Purse Schedule'!$G$5:$I$5)</f>
        <v/>
      </c>
      <c r="D50" s="67">
        <f>Assumptions!$C$56*SUM('Purse Schedule'!$G$6:$I$6)</f>
        <v/>
      </c>
      <c r="E50" s="67">
        <f>Assumptions!$C$56*SUM('Purse Schedule'!$G$7:$I$7)</f>
        <v/>
      </c>
      <c r="F50" s="67">
        <f>Assumptions!$C$56*SUM('Purse Schedule'!$G$8:$I$8)</f>
        <v/>
      </c>
      <c r="G50" s="67">
        <f>Assumptions!$C$56*SUM('Purse Schedule'!$G$9:$I$9)</f>
        <v/>
      </c>
      <c r="H50" s="67">
        <f>Assumptions!$C$56*SUM('Purse Schedule'!$G$10:$I$10)</f>
        <v/>
      </c>
      <c r="I50" s="67">
        <f>Assumptions!$C$56*SUM('Purse Schedule'!$G$11:$I$11)</f>
        <v/>
      </c>
      <c r="J50" s="67">
        <f>Assumptions!$C$56*SUM('Purse Schedule'!$G$12:$I$12)</f>
        <v/>
      </c>
      <c r="K50" s="67">
        <f>Assumptions!$C$56*SUM('Purse Schedule'!$G$13:$I$13)</f>
        <v/>
      </c>
      <c r="L50" s="67">
        <f>Assumptions!$C$56*SUM('Purse Schedule'!$G$14:$I$14)</f>
        <v/>
      </c>
      <c r="M50" s="67">
        <f>Assumptions!$C$56*SUM('Purse Schedule'!$G$15:$I$15)</f>
        <v/>
      </c>
      <c r="N50" s="67">
        <f>Assumptions!$C$56*SUM('Purse Schedule'!$G$16:$I$16)</f>
        <v/>
      </c>
      <c r="O50" s="80">
        <f>SUM(B50:N50)</f>
        <v/>
      </c>
    </row>
    <row r="51" ht="15" customHeight="1" s="44">
      <c r="A51" s="46" t="inlineStr">
        <is>
          <t>Gold prize</t>
        </is>
      </c>
      <c r="B51" s="67">
        <f>Assumptions!$D$56*SUM('Purse Schedule'!$J$4:$L$4)</f>
        <v/>
      </c>
      <c r="C51" s="67">
        <f>Assumptions!$D$56*SUM('Purse Schedule'!$J$5:$L$5)</f>
        <v/>
      </c>
      <c r="D51" s="67">
        <f>Assumptions!$D$56*SUM('Purse Schedule'!$J$6:$L$6)</f>
        <v/>
      </c>
      <c r="E51" s="67">
        <f>Assumptions!$D$56*SUM('Purse Schedule'!$J$7:$L$7)</f>
        <v/>
      </c>
      <c r="F51" s="67">
        <f>Assumptions!$D$56*SUM('Purse Schedule'!$J$8:$L$8)</f>
        <v/>
      </c>
      <c r="G51" s="67">
        <f>Assumptions!$D$56*SUM('Purse Schedule'!$J$9:$L$9)</f>
        <v/>
      </c>
      <c r="H51" s="67">
        <f>Assumptions!$D$56*SUM('Purse Schedule'!$J$10:$L$10)</f>
        <v/>
      </c>
      <c r="I51" s="67">
        <f>Assumptions!$D$56*SUM('Purse Schedule'!$J$11:$L$11)</f>
        <v/>
      </c>
      <c r="J51" s="67">
        <f>Assumptions!$D$56*SUM('Purse Schedule'!$J$12:$L$12)</f>
        <v/>
      </c>
      <c r="K51" s="67">
        <f>Assumptions!$D$56*SUM('Purse Schedule'!$J$13:$L$13)</f>
        <v/>
      </c>
      <c r="L51" s="67">
        <f>Assumptions!$D$56*SUM('Purse Schedule'!$J$14:$L$14)</f>
        <v/>
      </c>
      <c r="M51" s="67">
        <f>Assumptions!$D$56*SUM('Purse Schedule'!$J$15:$L$15)</f>
        <v/>
      </c>
      <c r="N51" s="67">
        <f>Assumptions!$D$56*SUM('Purse Schedule'!$J$16:$L$16)</f>
        <v/>
      </c>
      <c r="O51" s="80">
        <f>SUM(B51:N51)</f>
        <v/>
      </c>
    </row>
    <row r="52" ht="15" customHeight="1" s="44">
      <c r="A52" s="46" t="inlineStr">
        <is>
          <t>Food trade profit</t>
        </is>
      </c>
      <c r="B52" s="67">
        <f>(B48-B46*Assumptions!$B$24)*Assumptions!$B$31</f>
        <v/>
      </c>
      <c r="C52" s="67">
        <f>(C48-C46*Assumptions!$B$24)*Assumptions!$B$31</f>
        <v/>
      </c>
      <c r="D52" s="67">
        <f>(D48-D46*Assumptions!$B$24)*Assumptions!$B$31</f>
        <v/>
      </c>
      <c r="E52" s="67">
        <f>(E48-E46*Assumptions!$B$24)*Assumptions!$B$31</f>
        <v/>
      </c>
      <c r="F52" s="67">
        <f>(F48-F46*Assumptions!$B$24)*Assumptions!$B$31</f>
        <v/>
      </c>
      <c r="G52" s="67">
        <f>(G48-G46*Assumptions!$B$24)*Assumptions!$B$31</f>
        <v/>
      </c>
      <c r="H52" s="67">
        <f>(H48-H46*Assumptions!$B$24)*Assumptions!$B$31</f>
        <v/>
      </c>
      <c r="I52" s="67">
        <f>(I48-I46*Assumptions!$B$24)*Assumptions!$B$31</f>
        <v/>
      </c>
      <c r="J52" s="67">
        <f>(J48-J46*Assumptions!$B$24)*Assumptions!$B$31</f>
        <v/>
      </c>
      <c r="K52" s="67">
        <f>(K48-K46*Assumptions!$B$24)*Assumptions!$B$31</f>
        <v/>
      </c>
      <c r="L52" s="67">
        <f>(L48-L46*Assumptions!$B$24)*Assumptions!$B$31</f>
        <v/>
      </c>
      <c r="M52" s="67">
        <f>(M48-M46*Assumptions!$B$24)*Assumptions!$B$31</f>
        <v/>
      </c>
      <c r="N52" s="67">
        <f>(N48-N46*Assumptions!$B$24)*Assumptions!$B$31</f>
        <v/>
      </c>
      <c r="O52" s="80">
        <f>SUM(B52:N52)</f>
        <v/>
      </c>
    </row>
    <row r="53" ht="15" customHeight="1" s="44">
      <c r="A53" s="47" t="inlineStr">
        <is>
          <t>Total income</t>
        </is>
      </c>
      <c r="B53" s="80">
        <f>SUM(B49:B52)</f>
        <v/>
      </c>
      <c r="C53" s="80">
        <f>SUM(C49:C52)</f>
        <v/>
      </c>
      <c r="D53" s="80">
        <f>SUM(D49:D52)</f>
        <v/>
      </c>
      <c r="E53" s="80">
        <f>SUM(E49:E52)</f>
        <v/>
      </c>
      <c r="F53" s="80">
        <f>SUM(F49:F52)</f>
        <v/>
      </c>
      <c r="G53" s="80">
        <f>SUM(G49:G52)</f>
        <v/>
      </c>
      <c r="H53" s="80">
        <f>SUM(H49:H52)</f>
        <v/>
      </c>
      <c r="I53" s="80">
        <f>SUM(I49:I52)</f>
        <v/>
      </c>
      <c r="J53" s="80">
        <f>SUM(J49:J52)</f>
        <v/>
      </c>
      <c r="K53" s="80">
        <f>SUM(K49:K52)</f>
        <v/>
      </c>
      <c r="L53" s="80">
        <f>SUM(L49:L52)</f>
        <v/>
      </c>
      <c r="M53" s="80">
        <f>SUM(M49:M52)</f>
        <v/>
      </c>
      <c r="N53" s="80">
        <f>SUM(N49:N52)</f>
        <v/>
      </c>
      <c r="O53" s="80">
        <f>SUM(B53:N53)</f>
        <v/>
      </c>
    </row>
    <row r="54" ht="15" customHeight="1" s="44">
      <c r="A54" s="46" t="inlineStr">
        <is>
          <t>Kennel upkeep</t>
        </is>
      </c>
      <c r="B54" s="67">
        <f>-B46*Assumptions!$B$23</f>
        <v/>
      </c>
      <c r="C54" s="67">
        <f>-C46*Assumptions!$B$23</f>
        <v/>
      </c>
      <c r="D54" s="67">
        <f>-D46*Assumptions!$B$23</f>
        <v/>
      </c>
      <c r="E54" s="67">
        <f>-E46*Assumptions!$B$23</f>
        <v/>
      </c>
      <c r="F54" s="67">
        <f>-F46*Assumptions!$B$23</f>
        <v/>
      </c>
      <c r="G54" s="67">
        <f>-G46*Assumptions!$B$23</f>
        <v/>
      </c>
      <c r="H54" s="67">
        <f>-H46*Assumptions!$B$23</f>
        <v/>
      </c>
      <c r="I54" s="67">
        <f>-I46*Assumptions!$B$23</f>
        <v/>
      </c>
      <c r="J54" s="67">
        <f>-J46*Assumptions!$B$23</f>
        <v/>
      </c>
      <c r="K54" s="67">
        <f>-K46*Assumptions!$B$23</f>
        <v/>
      </c>
      <c r="L54" s="67">
        <f>-L46*Assumptions!$B$23</f>
        <v/>
      </c>
      <c r="M54" s="67">
        <f>-M46*Assumptions!$B$23</f>
        <v/>
      </c>
      <c r="N54" s="67">
        <f>-N46*Assumptions!$B$23</f>
        <v/>
      </c>
      <c r="O54" s="80">
        <f>SUM(B54:N54)</f>
        <v/>
      </c>
    </row>
    <row r="55" ht="15" customHeight="1" s="44">
      <c r="A55" s="46" t="inlineStr">
        <is>
          <t>Food eaten (at avg price)</t>
        </is>
      </c>
      <c r="B55" s="67">
        <f>-B46*Assumptions!$B$24*(Assumptions!$B$29+Assumptions!$B$30)/2</f>
        <v/>
      </c>
      <c r="C55" s="67">
        <f>-C46*Assumptions!$B$24*(Assumptions!$B$29+Assumptions!$B$30)/2</f>
        <v/>
      </c>
      <c r="D55" s="67">
        <f>-D46*Assumptions!$B$24*(Assumptions!$B$29+Assumptions!$B$30)/2</f>
        <v/>
      </c>
      <c r="E55" s="67">
        <f>-E46*Assumptions!$B$24*(Assumptions!$B$29+Assumptions!$B$30)/2</f>
        <v/>
      </c>
      <c r="F55" s="67">
        <f>-F46*Assumptions!$B$24*(Assumptions!$B$29+Assumptions!$B$30)/2</f>
        <v/>
      </c>
      <c r="G55" s="67">
        <f>-G46*Assumptions!$B$24*(Assumptions!$B$29+Assumptions!$B$30)/2</f>
        <v/>
      </c>
      <c r="H55" s="67">
        <f>-H46*Assumptions!$B$24*(Assumptions!$B$29+Assumptions!$B$30)/2</f>
        <v/>
      </c>
      <c r="I55" s="67">
        <f>-I46*Assumptions!$B$24*(Assumptions!$B$29+Assumptions!$B$30)/2</f>
        <v/>
      </c>
      <c r="J55" s="67">
        <f>-J46*Assumptions!$B$24*(Assumptions!$B$29+Assumptions!$B$30)/2</f>
        <v/>
      </c>
      <c r="K55" s="67">
        <f>-K46*Assumptions!$B$24*(Assumptions!$B$29+Assumptions!$B$30)/2</f>
        <v/>
      </c>
      <c r="L55" s="67">
        <f>-L46*Assumptions!$B$24*(Assumptions!$B$29+Assumptions!$B$30)/2</f>
        <v/>
      </c>
      <c r="M55" s="67">
        <f>-M46*Assumptions!$B$24*(Assumptions!$B$29+Assumptions!$B$30)/2</f>
        <v/>
      </c>
      <c r="N55" s="67">
        <f>-N46*Assumptions!$B$24*(Assumptions!$B$29+Assumptions!$B$30)/2</f>
        <v/>
      </c>
      <c r="O55" s="80">
        <f>SUM(B55:N55)</f>
        <v/>
      </c>
    </row>
    <row r="56" ht="15" customHeight="1" s="44">
      <c r="A56" s="46" t="inlineStr">
        <is>
          <t>Fuel</t>
        </is>
      </c>
      <c r="B56" s="67">
        <f>-Assumptions!$B$25</f>
        <v/>
      </c>
      <c r="C56" s="67">
        <f>-Assumptions!$B$25</f>
        <v/>
      </c>
      <c r="D56" s="67">
        <f>-Assumptions!$B$25</f>
        <v/>
      </c>
      <c r="E56" s="67">
        <f>-Assumptions!$B$25</f>
        <v/>
      </c>
      <c r="F56" s="67">
        <f>-Assumptions!$B$25</f>
        <v/>
      </c>
      <c r="G56" s="67">
        <f>-Assumptions!$B$25</f>
        <v/>
      </c>
      <c r="H56" s="67">
        <f>-Assumptions!$B$25</f>
        <v/>
      </c>
      <c r="I56" s="67">
        <f>-Assumptions!$B$25</f>
        <v/>
      </c>
      <c r="J56" s="67">
        <f>-Assumptions!$B$25</f>
        <v/>
      </c>
      <c r="K56" s="67">
        <f>-Assumptions!$B$25</f>
        <v/>
      </c>
      <c r="L56" s="67">
        <f>-Assumptions!$B$25</f>
        <v/>
      </c>
      <c r="M56" s="67">
        <f>-Assumptions!$B$25</f>
        <v/>
      </c>
      <c r="N56" s="67">
        <f>-Assumptions!$B$25</f>
        <v/>
      </c>
      <c r="O56" s="80">
        <f>SUM(B56:N56)</f>
        <v/>
      </c>
    </row>
    <row r="57" ht="15" customHeight="1" s="44">
      <c r="A57" s="46" t="inlineStr">
        <is>
          <t>Trainer wage</t>
        </is>
      </c>
      <c r="B57" s="67">
        <f>-B47*Assumptions!$B$26</f>
        <v/>
      </c>
      <c r="C57" s="67">
        <f>-C47*Assumptions!$B$26</f>
        <v/>
      </c>
      <c r="D57" s="67">
        <f>-D47*Assumptions!$B$26</f>
        <v/>
      </c>
      <c r="E57" s="67">
        <f>-E47*Assumptions!$B$26</f>
        <v/>
      </c>
      <c r="F57" s="67">
        <f>-F47*Assumptions!$B$26</f>
        <v/>
      </c>
      <c r="G57" s="67">
        <f>-G47*Assumptions!$B$26</f>
        <v/>
      </c>
      <c r="H57" s="67">
        <f>-H47*Assumptions!$B$26</f>
        <v/>
      </c>
      <c r="I57" s="67">
        <f>-I47*Assumptions!$B$26</f>
        <v/>
      </c>
      <c r="J57" s="67">
        <f>-J47*Assumptions!$B$26</f>
        <v/>
      </c>
      <c r="K57" s="67">
        <f>-K47*Assumptions!$B$26</f>
        <v/>
      </c>
      <c r="L57" s="67">
        <f>-L47*Assumptions!$B$26</f>
        <v/>
      </c>
      <c r="M57" s="67">
        <f>-M47*Assumptions!$B$26</f>
        <v/>
      </c>
      <c r="N57" s="67">
        <f>-N47*Assumptions!$B$26</f>
        <v/>
      </c>
      <c r="O57" s="80">
        <f>SUM(B57:N57)</f>
        <v/>
      </c>
    </row>
    <row r="58" ht="15" customHeight="1" s="44">
      <c r="A58" s="47" t="inlineStr">
        <is>
          <t>Total costs</t>
        </is>
      </c>
      <c r="B58" s="80">
        <f>SUM(B54:B57)</f>
        <v/>
      </c>
      <c r="C58" s="80">
        <f>SUM(C54:C57)</f>
        <v/>
      </c>
      <c r="D58" s="80">
        <f>SUM(D54:D57)</f>
        <v/>
      </c>
      <c r="E58" s="80">
        <f>SUM(E54:E57)</f>
        <v/>
      </c>
      <c r="F58" s="80">
        <f>SUM(F54:F57)</f>
        <v/>
      </c>
      <c r="G58" s="80">
        <f>SUM(G54:G57)</f>
        <v/>
      </c>
      <c r="H58" s="80">
        <f>SUM(H54:H57)</f>
        <v/>
      </c>
      <c r="I58" s="80">
        <f>SUM(I54:I57)</f>
        <v/>
      </c>
      <c r="J58" s="80">
        <f>SUM(J54:J57)</f>
        <v/>
      </c>
      <c r="K58" s="80">
        <f>SUM(K54:K57)</f>
        <v/>
      </c>
      <c r="L58" s="80">
        <f>SUM(L54:L57)</f>
        <v/>
      </c>
      <c r="M58" s="80">
        <f>SUM(M54:M57)</f>
        <v/>
      </c>
      <c r="N58" s="80">
        <f>SUM(N54:N57)</f>
        <v/>
      </c>
      <c r="O58" s="80">
        <f>SUM(B58:N58)</f>
        <v/>
      </c>
    </row>
    <row r="59" ht="15" customHeight="1" s="44">
      <c r="A59" s="47" t="inlineStr">
        <is>
          <t>Net cash this week</t>
        </is>
      </c>
      <c r="B59" s="80">
        <f>B53+B58</f>
        <v/>
      </c>
      <c r="C59" s="80">
        <f>C53+C58</f>
        <v/>
      </c>
      <c r="D59" s="80">
        <f>D53+D58</f>
        <v/>
      </c>
      <c r="E59" s="80">
        <f>E53+E58</f>
        <v/>
      </c>
      <c r="F59" s="80">
        <f>F53+F58</f>
        <v/>
      </c>
      <c r="G59" s="80">
        <f>G53+G58</f>
        <v/>
      </c>
      <c r="H59" s="80">
        <f>H53+H58</f>
        <v/>
      </c>
      <c r="I59" s="80">
        <f>I53+I58</f>
        <v/>
      </c>
      <c r="J59" s="80">
        <f>J53+J58</f>
        <v/>
      </c>
      <c r="K59" s="80">
        <f>K53+K58</f>
        <v/>
      </c>
      <c r="L59" s="80">
        <f>L53+L58</f>
        <v/>
      </c>
      <c r="M59" s="80">
        <f>M53+M58</f>
        <v/>
      </c>
      <c r="N59" s="80">
        <f>N53+N58</f>
        <v/>
      </c>
      <c r="O59" s="80">
        <f>SUM(B59:N59)</f>
        <v/>
      </c>
    </row>
    <row r="60" ht="15" customHeight="1" s="44">
      <c r="A60" s="47" t="inlineStr">
        <is>
          <t>Cumulative cash</t>
        </is>
      </c>
      <c r="B60" s="80">
        <f>Assumptions!$B$35+B59</f>
        <v/>
      </c>
      <c r="C60" s="80">
        <f>B60+C59</f>
        <v/>
      </c>
      <c r="D60" s="80">
        <f>C60+D59</f>
        <v/>
      </c>
      <c r="E60" s="80">
        <f>D60+E59</f>
        <v/>
      </c>
      <c r="F60" s="80">
        <f>E60+F59</f>
        <v/>
      </c>
      <c r="G60" s="80">
        <f>F60+G59</f>
        <v/>
      </c>
      <c r="H60" s="80">
        <f>G60+H59</f>
        <v/>
      </c>
      <c r="I60" s="80">
        <f>H60+I59</f>
        <v/>
      </c>
      <c r="J60" s="80">
        <f>I60+J59</f>
        <v/>
      </c>
      <c r="K60" s="80">
        <f>J60+K59</f>
        <v/>
      </c>
      <c r="L60" s="80">
        <f>K60+L59</f>
        <v/>
      </c>
      <c r="M60" s="80">
        <f>L60+M59</f>
        <v/>
      </c>
      <c r="N60" s="80">
        <f>M60+N59</f>
        <v/>
      </c>
      <c r="O60" s="80">
        <f>N60</f>
        <v/>
      </c>
    </row>
    <row r="61" ht="15" customHeight="1" s="44">
      <c r="A61" s="46" t="inlineStr">
        <is>
          <t>Costs as % of income</t>
        </is>
      </c>
      <c r="B61" s="81">
        <f>IF(B53=0,0,-B58/B53)</f>
        <v/>
      </c>
      <c r="C61" s="81">
        <f>IF(C53=0,0,-C58/C53)</f>
        <v/>
      </c>
      <c r="D61" s="81">
        <f>IF(D53=0,0,-D58/D53)</f>
        <v/>
      </c>
      <c r="E61" s="81">
        <f>IF(E53=0,0,-E58/E53)</f>
        <v/>
      </c>
      <c r="F61" s="81">
        <f>IF(F53=0,0,-F58/F53)</f>
        <v/>
      </c>
      <c r="G61" s="81">
        <f>IF(G53=0,0,-G58/G53)</f>
        <v/>
      </c>
      <c r="H61" s="81">
        <f>IF(H53=0,0,-H58/H53)</f>
        <v/>
      </c>
      <c r="I61" s="81">
        <f>IF(I53=0,0,-I58/I53)</f>
        <v/>
      </c>
      <c r="J61" s="81">
        <f>IF(J53=0,0,-J58/J53)</f>
        <v/>
      </c>
      <c r="K61" s="81">
        <f>IF(K53=0,0,-K58/K53)</f>
        <v/>
      </c>
      <c r="L61" s="81">
        <f>IF(L53=0,0,-L58/L53)</f>
        <v/>
      </c>
      <c r="M61" s="81">
        <f>IF(M53=0,0,-M58/M53)</f>
        <v/>
      </c>
      <c r="N61" s="81">
        <f>IF(N53=0,0,-N58/N53)</f>
        <v/>
      </c>
      <c r="O61" s="82">
        <f>IF(O53=0,0,-O58/O53)</f>
        <v/>
      </c>
    </row>
    <row r="62" ht="15" customHeight="1" s="44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</row>
    <row r="63" ht="15" customHeight="1" s="44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</row>
    <row r="64" ht="17.35" customHeight="1" s="44">
      <c r="A64" s="45" t="inlineStr">
        <is>
          <t>Season summary</t>
        </is>
      </c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</row>
    <row r="65" ht="26.85" customHeight="1" s="44">
      <c r="A65" s="63" t="inlineStr">
        <is>
          <t>Archetype</t>
        </is>
      </c>
      <c r="B65" s="63" t="inlineStr">
        <is>
          <t>End cash</t>
        </is>
      </c>
      <c r="C65" s="63" t="inlineStr">
        <is>
          <t>Start worth</t>
        </is>
      </c>
      <c r="D65" s="63" t="inlineStr">
        <is>
          <t>Cash growth</t>
        </is>
      </c>
      <c r="E65" s="63" t="inlineStr">
        <is>
          <t>Prize income</t>
        </is>
      </c>
      <c r="F65" s="63" t="inlineStr">
        <is>
          <t>Costs</t>
        </is>
      </c>
      <c r="G65" s="63" t="inlineStr">
        <is>
          <t>Cost ratio</t>
        </is>
      </c>
      <c r="H65" s="50" t="n"/>
      <c r="I65" s="50" t="n"/>
      <c r="J65" s="50" t="n"/>
      <c r="K65" s="50" t="n"/>
      <c r="L65" s="50" t="n"/>
      <c r="M65" s="50" t="n"/>
      <c r="N65" s="50" t="n"/>
      <c r="O65" s="50" t="n"/>
    </row>
    <row r="66" ht="15" customHeight="1" s="44">
      <c r="A66" s="76" t="inlineStr">
        <is>
          <t>Cautious</t>
        </is>
      </c>
      <c r="B66" s="68">
        <f>N20</f>
        <v/>
      </c>
      <c r="C66" s="67">
        <f>'Dog Value'!$B$26</f>
        <v/>
      </c>
      <c r="D66" s="66">
        <f>IF(C66=0,0,B66/C66)</f>
        <v/>
      </c>
      <c r="E66" s="68">
        <f>O13</f>
        <v/>
      </c>
      <c r="F66" s="68">
        <f>-O18</f>
        <v/>
      </c>
      <c r="G66" s="82">
        <f>IF(E66=0,0,F66/E66)</f>
        <v/>
      </c>
      <c r="H66" s="50" t="n"/>
      <c r="I66" s="50" t="n"/>
      <c r="J66" s="50" t="n"/>
      <c r="K66" s="50" t="n"/>
      <c r="L66" s="50" t="n"/>
      <c r="M66" s="50" t="n"/>
      <c r="N66" s="50" t="n"/>
      <c r="O66" s="50" t="n"/>
    </row>
    <row r="67" ht="15" customHeight="1" s="44">
      <c r="A67" s="76" t="inlineStr">
        <is>
          <t>Average</t>
        </is>
      </c>
      <c r="B67" s="68">
        <f>N40</f>
        <v/>
      </c>
      <c r="C67" s="67">
        <f>'Dog Value'!$B$26</f>
        <v/>
      </c>
      <c r="D67" s="66">
        <f>IF(C67=0,0,B67/C67)</f>
        <v/>
      </c>
      <c r="E67" s="68">
        <f>O33</f>
        <v/>
      </c>
      <c r="F67" s="68">
        <f>-O38</f>
        <v/>
      </c>
      <c r="G67" s="82">
        <f>IF(E67=0,0,F67/E67)</f>
        <v/>
      </c>
      <c r="H67" s="50" t="n"/>
      <c r="I67" s="50" t="n"/>
      <c r="J67" s="50" t="n"/>
      <c r="K67" s="50" t="n"/>
      <c r="L67" s="50" t="n"/>
      <c r="M67" s="50" t="n"/>
      <c r="N67" s="50" t="n"/>
      <c r="O67" s="50" t="n"/>
    </row>
    <row r="68" ht="15" customHeight="1" s="44">
      <c r="A68" s="76" t="inlineStr">
        <is>
          <t>Aggressive</t>
        </is>
      </c>
      <c r="B68" s="68">
        <f>N60</f>
        <v/>
      </c>
      <c r="C68" s="67">
        <f>'Dog Value'!$B$26</f>
        <v/>
      </c>
      <c r="D68" s="66">
        <f>IF(C68=0,0,B68/C68)</f>
        <v/>
      </c>
      <c r="E68" s="68">
        <f>O53</f>
        <v/>
      </c>
      <c r="F68" s="68">
        <f>-O58</f>
        <v/>
      </c>
      <c r="G68" s="82">
        <f>IF(E68=0,0,F68/E68)</f>
        <v/>
      </c>
      <c r="H68" s="50" t="n"/>
      <c r="I68" s="50" t="n"/>
      <c r="J68" s="50" t="n"/>
      <c r="K68" s="50" t="n"/>
      <c r="L68" s="50" t="n"/>
      <c r="M68" s="50" t="n"/>
      <c r="N68" s="50" t="n"/>
      <c r="O68" s="50" t="n"/>
    </row>
    <row r="69" ht="15" customHeight="1" s="44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</row>
    <row r="70" ht="15" customHeight="1" s="44">
      <c r="A70" s="52" t="inlineStr">
        <is>
          <t>Note: end cash excludes dog appreciation (training raises rating → value) and any betting. Real net worth = cash + dogs + ship + cargo − debt.</t>
        </is>
      </c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43" min="1" max="1"/>
    <col width="12" customWidth="1" style="43" min="2" max="2"/>
    <col width="14" customWidth="1" style="43" min="3" max="3"/>
    <col width="12" customWidth="1" style="43" min="4" max="4"/>
    <col width="13" customWidth="1" style="43" min="5" max="5"/>
    <col width="16" customWidth="1" style="43" min="6" max="6"/>
    <col width="50" customWidth="1" style="43" min="7" max="7"/>
    <col width="60" customWidth="1" style="43" min="8" max="8"/>
  </cols>
  <sheetData>
    <row r="1" ht="17.35" customHeight="1" s="44">
      <c r="A1" s="45" t="inlineStr">
        <is>
          <t>Upgrades — cost, benefit and payback</t>
        </is>
      </c>
      <c r="B1" s="50" t="n"/>
      <c r="C1" s="50" t="n"/>
      <c r="D1" s="50" t="n"/>
      <c r="E1" s="50" t="n"/>
      <c r="F1" s="50" t="n"/>
      <c r="G1" s="50" t="n"/>
      <c r="H1" s="50" t="n"/>
    </row>
    <row r="2" ht="15" customHeight="1" s="44">
      <c r="A2" s="52" t="inlineStr">
        <is>
          <t>Payback weeks = cost ÷ weekly benefit. "Last sensible week to buy" = 13 − payback (rounded up). Items nobody would buy after week 8 need a resale value or should be cheaper.</t>
        </is>
      </c>
      <c r="B2" s="50" t="n"/>
      <c r="C2" s="50" t="n"/>
      <c r="D2" s="50" t="n"/>
      <c r="E2" s="50" t="n"/>
      <c r="F2" s="50" t="n"/>
      <c r="G2" s="50" t="n"/>
      <c r="H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</row>
    <row r="4" ht="26.85" customHeight="1" s="44">
      <c r="A4" s="63" t="inlineStr">
        <is>
          <t>Item</t>
        </is>
      </c>
      <c r="B4" s="63" t="inlineStr">
        <is>
          <t>Cost</t>
        </is>
      </c>
      <c r="C4" s="63" t="inlineStr">
        <is>
          <t>Weekly running cost</t>
        </is>
      </c>
      <c r="D4" s="63" t="inlineStr">
        <is>
          <t>Weekly benefit</t>
        </is>
      </c>
      <c r="E4" s="63" t="inlineStr">
        <is>
          <t>Net weekly</t>
        </is>
      </c>
      <c r="F4" s="63" t="inlineStr">
        <is>
          <t>Payback (weeks)</t>
        </is>
      </c>
      <c r="G4" s="63" t="inlineStr">
        <is>
          <t>Last sensible week to buy</t>
        </is>
      </c>
      <c r="H4" s="63" t="inlineStr">
        <is>
          <t>How the benefit is estimated</t>
        </is>
      </c>
    </row>
    <row r="5" ht="15" customHeight="1" s="44">
      <c r="A5" s="64" t="inlineStr">
        <is>
          <t>Trainer (staff)</t>
        </is>
      </c>
      <c r="B5" s="55" t="n">
        <v>0</v>
      </c>
      <c r="C5" s="67">
        <f>Assumptions!$B$26</f>
        <v/>
      </c>
      <c r="D5" s="55" t="n">
        <v>900</v>
      </c>
      <c r="E5" s="68">
        <f>D5-C5</f>
        <v/>
      </c>
      <c r="F5" s="83">
        <f>IF(E5&lt;=0,"never",IF(B5=0,0,B5/E5))</f>
        <v/>
      </c>
      <c r="G5" s="84">
        <f>IF(E5&lt;=0,"n/a",MAX(0,Assumptions!$B$5-ROUNDUP(IF(B5=0,0,B5/E5),0)))</f>
        <v/>
      </c>
      <c r="H5" s="85" t="inlineStr">
        <is>
          <t>Adds ~1 stat point/week to one dog → +0.5 rating/week → ~+2% purse share across 3 races + dog value gain (~+120/week per dog)</t>
        </is>
      </c>
    </row>
    <row r="6" ht="15" customHeight="1" s="44">
      <c r="A6" s="64" t="inlineStr">
        <is>
          <t>Vet (staff)</t>
        </is>
      </c>
      <c r="B6" s="55" t="n">
        <v>0</v>
      </c>
      <c r="C6" s="67">
        <f>Assumptions!$B$27</f>
        <v/>
      </c>
      <c r="D6" s="55" t="n">
        <v>500</v>
      </c>
      <c r="E6" s="68">
        <f>D6-C6</f>
        <v/>
      </c>
      <c r="F6" s="83">
        <f>IF(E6&lt;=0,"never",IF(B6=0,0,B6/E6))</f>
        <v/>
      </c>
      <c r="G6" s="84">
        <f>IF(E6&lt;=0,"n/a",MAX(0,Assumptions!$B$5-ROUNDUP(IF(B6=0,0,B6/E6),0)))</f>
        <v/>
      </c>
      <c r="H6" s="85" t="inlineStr">
        <is>
          <t>Halves injury downtime; avoids ~1 missed race per 6 weeks (~1/6 of average weekly prize)</t>
        </is>
      </c>
    </row>
    <row r="7" ht="15" customHeight="1" s="44">
      <c r="A7" s="64" t="inlineStr">
        <is>
          <t>Cargo hold +20 units</t>
        </is>
      </c>
      <c r="B7" s="55" t="n">
        <v>2500</v>
      </c>
      <c r="C7" s="55" t="n">
        <v>0</v>
      </c>
      <c r="D7" s="67">
        <f>Assumptions!$B$33*Assumptions!$B$31</f>
        <v/>
      </c>
      <c r="E7" s="68">
        <f>D7-C7</f>
        <v/>
      </c>
      <c r="F7" s="83">
        <f>IF(E7&lt;=0,"never",IF(B7=0,0,B7/E7))</f>
        <v/>
      </c>
      <c r="G7" s="84">
        <f>IF(E7&lt;=0,"n/a",MAX(0,Assumptions!$B$5-ROUNDUP(IF(B7=0,0,B7/E7),0)))</f>
        <v/>
      </c>
      <c r="H7" s="85" t="inlineStr">
        <is>
          <t>Extra units × typical food margin, cargo filled every jump</t>
        </is>
      </c>
    </row>
    <row r="8" ht="15" customHeight="1" s="44">
      <c r="A8" s="64" t="inlineStr">
        <is>
          <t>Engine upgrade (turn order)</t>
        </is>
      </c>
      <c r="B8" s="55" t="n">
        <v>3000</v>
      </c>
      <c r="C8" s="55" t="n">
        <v>0</v>
      </c>
      <c r="D8" s="55" t="n">
        <v>400</v>
      </c>
      <c r="E8" s="68">
        <f>D8-C8</f>
        <v/>
      </c>
      <c r="F8" s="83">
        <f>IF(E8&lt;=0,"never",IF(B8=0,0,B8/E8))</f>
        <v/>
      </c>
      <c r="G8" s="84">
        <f>IF(E8&lt;=0,"n/a",MAX(0,Assumptions!$B$5-ROUNDUP(IF(B8=0,0,B8/E8),0)))</f>
        <v/>
      </c>
      <c r="H8" s="85" t="inlineStr">
        <is>
          <t>First pick at market ≈ better dog/upgrade deals; soft value, estimated</t>
        </is>
      </c>
    </row>
    <row r="9" ht="15" customHeight="1" s="44">
      <c r="A9" s="64" t="inlineStr">
        <is>
          <t>Kennel module (+1 dog slot, 4→5)</t>
        </is>
      </c>
      <c r="B9" s="55" t="n">
        <v>2000</v>
      </c>
      <c r="C9" s="67">
        <f>Assumptions!$B$23</f>
        <v/>
      </c>
      <c r="D9" s="55" t="n">
        <v>700</v>
      </c>
      <c r="E9" s="68">
        <f>D9-C9</f>
        <v/>
      </c>
      <c r="F9" s="83">
        <f>IF(E9&lt;=0,"never",IF(B9=0,0,B9/E9))</f>
        <v/>
      </c>
      <c r="G9" s="84">
        <f>IF(E9&lt;=0,"n/a",MAX(0,Assumptions!$B$5-ROUNDUP(IF(B9=0,0,B9/E9),0)))</f>
        <v/>
      </c>
      <c r="H9" s="85" t="inlineStr">
        <is>
          <t>Fifth dog = a spare to rotate for fitness + resale; ~1/4 of average prize</t>
        </is>
      </c>
    </row>
    <row r="10" ht="15" customHeight="1" s="44">
      <c r="A10" s="64" t="inlineStr">
        <is>
          <t>Track-day pass (one-off training camp)</t>
        </is>
      </c>
      <c r="B10" s="55" t="n">
        <v>800</v>
      </c>
      <c r="C10" s="55" t="n">
        <v>0</v>
      </c>
      <c r="D10" s="55" t="n">
        <v>300</v>
      </c>
      <c r="E10" s="68">
        <f>D10-C10</f>
        <v/>
      </c>
      <c r="F10" s="83">
        <f>IF(E10&lt;=0,"never",IF(B10=0,0,B10/E10))</f>
        <v/>
      </c>
      <c r="G10" s="84">
        <f>IF(E10&lt;=0,"n/a",MAX(0,Assumptions!$B$5-ROUNDUP(IF(B10=0,0,B10/E10),0)))</f>
        <v/>
      </c>
      <c r="H10" s="85" t="inlineStr">
        <is>
          <t>+3 to one stat immediately; value spread over 4 weeks</t>
        </is>
      </c>
    </row>
    <row r="11" ht="15" customHeight="1" s="44">
      <c r="A11" s="64" t="inlineStr">
        <is>
          <t>Performance "supplement" (one race)</t>
        </is>
      </c>
      <c r="B11" s="55" t="n">
        <v>400</v>
      </c>
      <c r="C11" s="55" t="n">
        <v>0</v>
      </c>
      <c r="D11" s="55" t="n">
        <v>600</v>
      </c>
      <c r="E11" s="68">
        <f>D11-C11</f>
        <v/>
      </c>
      <c r="F11" s="83">
        <f>IF(E11&lt;=0,"never",IF(B11=0,0,B11/E11))</f>
        <v/>
      </c>
      <c r="G11" s="84">
        <f>IF(E11&lt;=0,"n/a",MAX(0,Assumptions!$B$5-ROUNDUP(IF(B11=0,0,B11/E11),0)))</f>
        <v/>
      </c>
      <c r="H11" s="85" t="inlineStr">
        <is>
          <t>+8 speed for one race, 15% chance of ban (lose the purse). EV shown</t>
        </is>
      </c>
    </row>
    <row r="12" ht="15" customHeight="1" s="44">
      <c r="A12" s="64" t="inlineStr">
        <is>
          <t>Buy a rating-60 dog (age 3)</t>
        </is>
      </c>
      <c r="B12" s="67">
        <f>(Assumptions!$B$40+Assumptions!$B$41*60^2)*Assumptions!$B$44</f>
        <v/>
      </c>
      <c r="C12" s="67">
        <f>Assumptions!$B$23+Assumptions!$B$24*(Assumptions!$B$29+Assumptions!$B$30)/2</f>
        <v/>
      </c>
      <c r="D12" s="55" t="n">
        <v>1500</v>
      </c>
      <c r="E12" s="68">
        <f>D12-C12</f>
        <v/>
      </c>
      <c r="F12" s="83">
        <f>IF(E12&lt;=0,"never",IF(B12=0,0,B12/E12))</f>
        <v/>
      </c>
      <c r="G12" s="84">
        <f>IF(E12&lt;=0,"n/a",MAX(0,Assumptions!$B$5-ROUNDUP(IF(B12=0,0,B12/E12),0)))</f>
        <v/>
      </c>
      <c r="H12" s="85" t="inlineStr">
        <is>
          <t>Silver favourite: ~30% share of Silver purse each week + holds value</t>
        </is>
      </c>
    </row>
    <row r="13" ht="15" customHeight="1" s="44">
      <c r="A13" s="64" t="inlineStr">
        <is>
          <t>Buy a rating-80 dog (age 3)</t>
        </is>
      </c>
      <c r="B13" s="67">
        <f>(Assumptions!$B$40+Assumptions!$B$41*80^2)*Assumptions!$B$44</f>
        <v/>
      </c>
      <c r="C13" s="67">
        <f>Assumptions!$B$23+Assumptions!$B$24*(Assumptions!$B$29+Assumptions!$B$30)/2</f>
        <v/>
      </c>
      <c r="D13" s="55" t="n">
        <v>3400</v>
      </c>
      <c r="E13" s="68">
        <f>D13-C13</f>
        <v/>
      </c>
      <c r="F13" s="83">
        <f>IF(E13&lt;=0,"never",IF(B13=0,0,B13/E13))</f>
        <v/>
      </c>
      <c r="G13" s="84">
        <f>IF(E13&lt;=0,"n/a",MAX(0,Assumptions!$B$5-ROUNDUP(IF(B13=0,0,B13/E13),0)))</f>
        <v/>
      </c>
      <c r="H13" s="85" t="inlineStr">
        <is>
          <t>Gold contender: ~35% share of Gold purse; Majors make this the best late buy</t>
        </is>
      </c>
    </row>
    <row r="14" ht="15" customHeight="1" s="44">
      <c r="A14" s="50" t="n"/>
      <c r="B14" s="50" t="n"/>
      <c r="C14" s="50" t="n"/>
      <c r="D14" s="50" t="n"/>
      <c r="E14" s="50" t="n"/>
      <c r="F14" s="50" t="n"/>
      <c r="G14" s="50" t="n"/>
      <c r="H14" s="50" t="n"/>
    </row>
    <row r="15" ht="15" customHeight="1" s="44">
      <c r="A15" s="52" t="inlineStr">
        <is>
          <t>Weekly benefit figures (blue) are design estimates from the Monte Carlo (Sim Results) and the archetype shares — revisit after the first playable build.</t>
        </is>
      </c>
      <c r="B15" s="50" t="n"/>
      <c r="C15" s="50" t="n"/>
      <c r="D15" s="50" t="n"/>
      <c r="E15" s="50" t="n"/>
      <c r="F15" s="50" t="n"/>
      <c r="G15" s="50" t="n"/>
      <c r="H15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43" min="1" max="1"/>
    <col width="14" customWidth="1" style="43" min="2" max="3"/>
    <col width="16" customWidth="1" style="43" min="4" max="5"/>
    <col width="40" customWidth="1" style="43" min="6" max="6"/>
  </cols>
  <sheetData>
    <row r="1" ht="17.35" customHeight="1" s="44">
      <c r="A1" s="45" t="inlineStr">
        <is>
          <t>Betting — odds and expected value</t>
        </is>
      </c>
      <c r="B1" s="50" t="n"/>
      <c r="C1" s="50" t="n"/>
      <c r="D1" s="50" t="n"/>
      <c r="E1" s="50" t="n"/>
      <c r="F1" s="50" t="n"/>
    </row>
    <row r="2" ht="15" customHeight="1" s="44">
      <c r="A2" s="52" t="inlineStr">
        <is>
          <t>Decimal odds = (1 − house margin) ÷ win probability. The bookie's probability comes from ratings; a player who knows something the ratings don't (a hidden injury, a doped dog, a thrown race) gets positive EV.</t>
        </is>
      </c>
      <c r="B2" s="50" t="n"/>
      <c r="C2" s="50" t="n"/>
      <c r="D2" s="50" t="n"/>
      <c r="E2" s="50" t="n"/>
      <c r="F2" s="50" t="n"/>
    </row>
    <row r="3" ht="15" customHeight="1" s="44">
      <c r="A3" s="50" t="n"/>
      <c r="B3" s="50" t="n"/>
      <c r="C3" s="50" t="n"/>
      <c r="D3" s="50" t="n"/>
      <c r="E3" s="50" t="n"/>
      <c r="F3" s="50" t="n"/>
    </row>
    <row r="4" ht="26.85" customHeight="1" s="44">
      <c r="A4" s="63" t="inlineStr">
        <is>
          <t>Win prob (bookie)</t>
        </is>
      </c>
      <c r="B4" s="63" t="inlineStr">
        <is>
          <t>Decimal odds</t>
        </is>
      </c>
      <c r="C4" s="63" t="inlineStr">
        <is>
          <t>Return on 100</t>
        </is>
      </c>
      <c r="D4" s="63" t="inlineStr">
        <is>
          <t>EV on 100 (fair)</t>
        </is>
      </c>
      <c r="E4" s="63" t="inlineStr">
        <is>
          <t>EV if true prob +10pts</t>
        </is>
      </c>
      <c r="F4" s="63" t="inlineStr">
        <is>
          <t>Reading</t>
        </is>
      </c>
    </row>
    <row r="5" ht="15" customHeight="1" s="44">
      <c r="A5" s="62" t="n">
        <v>0.03</v>
      </c>
      <c r="B5" s="86">
        <f>(1-Assumptions!$B$49)/A5</f>
        <v/>
      </c>
      <c r="C5" s="68">
        <f>100*B5</f>
        <v/>
      </c>
      <c r="D5" s="68">
        <f>A5*C5-100</f>
        <v/>
      </c>
      <c r="E5" s="68">
        <f>MIN(1,A5+0.1)*C5-100</f>
        <v/>
      </c>
      <c r="F5" s="85" t="inlineStr">
        <is>
          <t>No-hoper</t>
        </is>
      </c>
    </row>
    <row r="6" ht="15" customHeight="1" s="44">
      <c r="A6" s="62" t="n">
        <v>0.05</v>
      </c>
      <c r="B6" s="86">
        <f>(1-Assumptions!$B$49)/A6</f>
        <v/>
      </c>
      <c r="C6" s="68">
        <f>100*B6</f>
        <v/>
      </c>
      <c r="D6" s="68">
        <f>A6*C6-100</f>
        <v/>
      </c>
      <c r="E6" s="68">
        <f>MIN(1,A6+0.1)*C6-100</f>
        <v/>
      </c>
      <c r="F6" s="85" t="inlineStr">
        <is>
          <t>Outsider</t>
        </is>
      </c>
    </row>
    <row r="7" ht="15" customHeight="1" s="44">
      <c r="A7" s="62" t="n">
        <v>0.08</v>
      </c>
      <c r="B7" s="86">
        <f>(1-Assumptions!$B$49)/A7</f>
        <v/>
      </c>
      <c r="C7" s="68">
        <f>100*B7</f>
        <v/>
      </c>
      <c r="D7" s="68">
        <f>A7*C7-100</f>
        <v/>
      </c>
      <c r="E7" s="68">
        <f>MIN(1,A7+0.1)*C7-100</f>
        <v/>
      </c>
      <c r="F7" s="85" t="inlineStr">
        <is>
          <t>Outsider</t>
        </is>
      </c>
    </row>
    <row r="8" ht="15" customHeight="1" s="44">
      <c r="A8" s="62" t="n">
        <v>0.1</v>
      </c>
      <c r="B8" s="86">
        <f>(1-Assumptions!$B$49)/A8</f>
        <v/>
      </c>
      <c r="C8" s="68">
        <f>100*B8</f>
        <v/>
      </c>
      <c r="D8" s="68">
        <f>A8*C8-100</f>
        <v/>
      </c>
      <c r="E8" s="68">
        <f>MIN(1,A8+0.1)*C8-100</f>
        <v/>
      </c>
      <c r="F8" s="85" t="inlineStr">
        <is>
          <t>Fair-field average</t>
        </is>
      </c>
    </row>
    <row r="9" ht="15" customHeight="1" s="44">
      <c r="A9" s="62" t="n">
        <v>0.125</v>
      </c>
      <c r="B9" s="86">
        <f>(1-Assumptions!$B$49)/A9</f>
        <v/>
      </c>
      <c r="C9" s="68">
        <f>100*B9</f>
        <v/>
      </c>
      <c r="D9" s="68">
        <f>A9*C9-100</f>
        <v/>
      </c>
      <c r="E9" s="68">
        <f>MIN(1,A9+0.1)*C9-100</f>
        <v/>
      </c>
      <c r="F9" s="85" t="inlineStr">
        <is>
          <t>One of eight</t>
        </is>
      </c>
    </row>
    <row r="10" ht="15" customHeight="1" s="44">
      <c r="A10" s="62" t="n">
        <v>0.15</v>
      </c>
      <c r="B10" s="86">
        <f>(1-Assumptions!$B$49)/A10</f>
        <v/>
      </c>
      <c r="C10" s="68">
        <f>100*B10</f>
        <v/>
      </c>
      <c r="D10" s="68">
        <f>A10*C10-100</f>
        <v/>
      </c>
      <c r="E10" s="68">
        <f>MIN(1,A10+0.1)*C10-100</f>
        <v/>
      </c>
      <c r="F10" s="85" t="inlineStr">
        <is>
          <t>Fancied</t>
        </is>
      </c>
    </row>
    <row r="11" ht="15" customHeight="1" s="44">
      <c r="A11" s="62" t="n">
        <v>0.2</v>
      </c>
      <c r="B11" s="86">
        <f>(1-Assumptions!$B$49)/A11</f>
        <v/>
      </c>
      <c r="C11" s="68">
        <f>100*B11</f>
        <v/>
      </c>
      <c r="D11" s="68">
        <f>A11*C11-100</f>
        <v/>
      </c>
      <c r="E11" s="68">
        <f>MIN(1,A11+0.1)*C11-100</f>
        <v/>
      </c>
      <c r="F11" s="85" t="inlineStr">
        <is>
          <t>Fancied</t>
        </is>
      </c>
    </row>
    <row r="12" ht="15" customHeight="1" s="44">
      <c r="A12" s="62" t="n">
        <v>0.25</v>
      </c>
      <c r="B12" s="86">
        <f>(1-Assumptions!$B$49)/A12</f>
        <v/>
      </c>
      <c r="C12" s="68">
        <f>100*B12</f>
        <v/>
      </c>
      <c r="D12" s="68">
        <f>A12*C12-100</f>
        <v/>
      </c>
      <c r="E12" s="68">
        <f>MIN(1,A12+0.1)*C12-100</f>
        <v/>
      </c>
      <c r="F12" s="85" t="inlineStr">
        <is>
          <t>Favourite</t>
        </is>
      </c>
    </row>
    <row r="13" ht="15" customHeight="1" s="44">
      <c r="A13" s="62" t="n">
        <v>0.3</v>
      </c>
      <c r="B13" s="86">
        <f>(1-Assumptions!$B$49)/A13</f>
        <v/>
      </c>
      <c r="C13" s="68">
        <f>100*B13</f>
        <v/>
      </c>
      <c r="D13" s="68">
        <f>A13*C13-100</f>
        <v/>
      </c>
      <c r="E13" s="68">
        <f>MIN(1,A13+0.1)*C13-100</f>
        <v/>
      </c>
      <c r="F13" s="85" t="inlineStr">
        <is>
          <t>Favourite</t>
        </is>
      </c>
    </row>
    <row r="14" ht="15" customHeight="1" s="44">
      <c r="A14" s="62" t="n">
        <v>0.4</v>
      </c>
      <c r="B14" s="86">
        <f>(1-Assumptions!$B$49)/A14</f>
        <v/>
      </c>
      <c r="C14" s="68">
        <f>100*B14</f>
        <v/>
      </c>
      <c r="D14" s="68">
        <f>A14*C14-100</f>
        <v/>
      </c>
      <c r="E14" s="68">
        <f>MIN(1,A14+0.1)*C14-100</f>
        <v/>
      </c>
      <c r="F14" s="85" t="inlineStr">
        <is>
          <t>Strong favourite</t>
        </is>
      </c>
    </row>
    <row r="15" ht="15" customHeight="1" s="44">
      <c r="A15" s="62" t="n">
        <v>0.5</v>
      </c>
      <c r="B15" s="86">
        <f>(1-Assumptions!$B$49)/A15</f>
        <v/>
      </c>
      <c r="C15" s="68">
        <f>100*B15</f>
        <v/>
      </c>
      <c r="D15" s="68">
        <f>A15*C15-100</f>
        <v/>
      </c>
      <c r="E15" s="68">
        <f>MIN(1,A15+0.1)*C15-100</f>
        <v/>
      </c>
      <c r="F15" s="85" t="inlineStr">
        <is>
          <t>Odds-on</t>
        </is>
      </c>
    </row>
    <row r="16" ht="15" customHeight="1" s="44">
      <c r="A16" s="62" t="n">
        <v>0.6</v>
      </c>
      <c r="B16" s="86">
        <f>(1-Assumptions!$B$49)/A16</f>
        <v/>
      </c>
      <c r="C16" s="68">
        <f>100*B16</f>
        <v/>
      </c>
      <c r="D16" s="68">
        <f>A16*C16-100</f>
        <v/>
      </c>
      <c r="E16" s="68">
        <f>MIN(1,A16+0.1)*C16-100</f>
        <v/>
      </c>
      <c r="F16" s="85" t="inlineStr">
        <is>
          <t>Banker</t>
        </is>
      </c>
    </row>
    <row r="17" ht="15" customHeight="1" s="44">
      <c r="A17" s="50" t="n"/>
      <c r="B17" s="50" t="n"/>
      <c r="C17" s="50" t="n"/>
      <c r="D17" s="50" t="n"/>
      <c r="E17" s="50" t="n"/>
      <c r="F17" s="50" t="n"/>
    </row>
    <row r="18" ht="15" customHeight="1" s="44">
      <c r="A18" s="52" t="inlineStr">
        <is>
          <t>Design intent: with a 15% margin every "honest" bet loses ~15 per 100 on average, so betting is a money lever only when you have an edge (or are throwing your own race). That is exactly the grimy incentive we want.</t>
        </is>
      </c>
      <c r="B18" s="50" t="n"/>
      <c r="C18" s="50" t="n"/>
      <c r="D18" s="50" t="n"/>
      <c r="E18" s="50" t="n"/>
      <c r="F18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3" min="1" max="1"/>
    <col width="16" customWidth="1" style="43" min="2" max="5"/>
  </cols>
  <sheetData>
    <row r="1" ht="17.35" customHeight="1" s="44">
      <c r="A1" s="45" t="inlineStr">
        <is>
          <t>Sim Results — 200-season Monte Carlo (sim.py, 6 players, defaults above)</t>
        </is>
      </c>
      <c r="B1" s="50" t="n"/>
      <c r="C1" s="50" t="n"/>
      <c r="D1" s="50" t="n"/>
      <c r="E1" s="50" t="n"/>
    </row>
    <row r="2" ht="15" customHeight="1" s="44">
      <c r="A2" s="52" t="inlineStr">
        <is>
          <t>Hardcoded snapshot from the Python model, September 2026. Re-run sim.py after changing Assumptions to refresh. "Smart" AI maximises rating × purse when assigning dogs; "random" assigns at random and hires no trainer.</t>
        </is>
      </c>
      <c r="B2" s="50" t="n"/>
      <c r="C2" s="50" t="n"/>
      <c r="D2" s="50" t="n"/>
      <c r="E2" s="50" t="n"/>
    </row>
    <row r="3" ht="15" customHeight="1" s="44">
      <c r="A3" s="50" t="n"/>
      <c r="B3" s="50" t="n"/>
      <c r="C3" s="50" t="n"/>
      <c r="D3" s="50" t="n"/>
      <c r="E3" s="50" t="n"/>
    </row>
    <row r="4" ht="15" customHeight="1" s="44">
      <c r="A4" s="63" t="inlineStr">
        <is>
          <t>Metric</t>
        </is>
      </c>
      <c r="B4" s="63" t="inlineStr">
        <is>
          <t>Smart AI</t>
        </is>
      </c>
      <c r="C4" s="63" t="inlineStr">
        <is>
          <t>Random AI</t>
        </is>
      </c>
      <c r="D4" s="63" t="n"/>
      <c r="E4" s="63" t="n"/>
    </row>
    <row r="5" ht="15" customHeight="1" s="44">
      <c r="A5" s="76" t="inlineStr">
        <is>
          <t>End cash (mean)</t>
        </is>
      </c>
      <c r="B5" s="55" t="n">
        <v>38550</v>
      </c>
      <c r="C5" s="55" t="n">
        <v>31225</v>
      </c>
      <c r="D5" s="50" t="n"/>
      <c r="E5" s="50" t="n"/>
    </row>
    <row r="6" ht="15" customHeight="1" s="44">
      <c r="A6" s="76" t="inlineStr">
        <is>
          <t>End cash (10th percentile)</t>
        </is>
      </c>
      <c r="B6" s="55" t="n">
        <v>-530</v>
      </c>
      <c r="C6" s="55" t="n">
        <v>2270</v>
      </c>
      <c r="D6" s="50" t="n"/>
      <c r="E6" s="50" t="n"/>
    </row>
    <row r="7" ht="15" customHeight="1" s="44">
      <c r="A7" s="76" t="inlineStr">
        <is>
          <t>End cash (90th percentile)</t>
        </is>
      </c>
      <c r="B7" s="55" t="n">
        <v>89970</v>
      </c>
      <c r="C7" s="55" t="n">
        <v>66820</v>
      </c>
      <c r="D7" s="50" t="n"/>
      <c r="E7" s="50" t="n"/>
    </row>
    <row r="8" ht="15" customHeight="1" s="44">
      <c r="A8" s="76" t="inlineStr">
        <is>
          <t>Prize income, season (mean)</t>
        </is>
      </c>
      <c r="B8" s="55" t="n">
        <v>49580</v>
      </c>
      <c r="C8" s="55" t="n">
        <v>37055</v>
      </c>
      <c r="D8" s="50" t="n"/>
      <c r="E8" s="50" t="n"/>
    </row>
    <row r="9" ht="15" customHeight="1" s="44">
      <c r="A9" s="76" t="inlineStr">
        <is>
          <t>Running costs, season (mean)</t>
        </is>
      </c>
      <c r="B9" s="55" t="n">
        <v>17030</v>
      </c>
      <c r="C9" s="55" t="n">
        <v>11830</v>
      </c>
      <c r="D9" s="50" t="n"/>
      <c r="E9" s="50" t="n"/>
    </row>
    <row r="10" ht="15" customHeight="1" s="44">
      <c r="A10" s="76" t="inlineStr">
        <is>
          <t>End net worth (mean)</t>
        </is>
      </c>
      <c r="B10" s="55" t="n">
        <v>61547</v>
      </c>
      <c r="C10" s="55" t="n">
        <v>49977</v>
      </c>
      <c r="D10" s="50" t="n"/>
      <c r="E10" s="50" t="n"/>
    </row>
    <row r="11" ht="15" customHeight="1" s="44">
      <c r="A11" s="50" t="n"/>
      <c r="B11" s="50" t="n"/>
      <c r="C11" s="50" t="n"/>
      <c r="D11" s="50" t="n"/>
      <c r="E11" s="50" t="n"/>
    </row>
    <row r="12" ht="15" customHeight="1" s="44">
      <c r="A12" s="50" t="n"/>
      <c r="B12" s="50" t="n"/>
      <c r="C12" s="50" t="n"/>
      <c r="D12" s="50" t="n"/>
      <c r="E12" s="50" t="n"/>
    </row>
    <row r="13" ht="15" customHeight="1" s="44">
      <c r="A13" s="47" t="inlineStr">
        <is>
          <t>Race-sim calibration: win probability of one dog vs seven rating-50 dogs</t>
        </is>
      </c>
      <c r="B13" s="50" t="n"/>
      <c r="C13" s="50" t="n"/>
      <c r="D13" s="50" t="n"/>
      <c r="E13" s="50" t="n"/>
    </row>
    <row r="14" ht="26.85" customHeight="1" s="44">
      <c r="A14" s="63" t="inlineStr">
        <is>
          <t>Dog quality</t>
        </is>
      </c>
      <c r="B14" s="63" t="inlineStr">
        <is>
          <t>Win probability</t>
        </is>
      </c>
      <c r="C14" s="63" t="inlineStr">
        <is>
          <t>Implied fair odds</t>
        </is>
      </c>
      <c r="D14" s="50" t="n"/>
      <c r="E14" s="50" t="n"/>
    </row>
    <row r="15" ht="15" customHeight="1" s="44">
      <c r="A15" s="65" t="n">
        <v>35</v>
      </c>
      <c r="B15" s="62" t="n">
        <v>0.01</v>
      </c>
      <c r="C15" s="83">
        <f>IF(B15=0,0,1/B15)</f>
        <v/>
      </c>
      <c r="D15" s="50" t="n"/>
      <c r="E15" s="50" t="n"/>
    </row>
    <row r="16" ht="15" customHeight="1" s="44">
      <c r="A16" s="65" t="n">
        <v>45</v>
      </c>
      <c r="B16" s="62" t="n">
        <v>0.06</v>
      </c>
      <c r="C16" s="83">
        <f>IF(B16=0,0,1/B16)</f>
        <v/>
      </c>
      <c r="D16" s="50" t="n"/>
      <c r="E16" s="50" t="n"/>
    </row>
    <row r="17" ht="15" customHeight="1" s="44">
      <c r="A17" s="65" t="n">
        <v>50</v>
      </c>
      <c r="B17" s="62" t="n">
        <v>0.12</v>
      </c>
      <c r="C17" s="83">
        <f>IF(B17=0,0,1/B17)</f>
        <v/>
      </c>
      <c r="D17" s="50" t="n"/>
      <c r="E17" s="50" t="n"/>
    </row>
    <row r="18" ht="15" customHeight="1" s="44">
      <c r="A18" s="65" t="n">
        <v>55</v>
      </c>
      <c r="B18" s="62" t="n">
        <v>0.24</v>
      </c>
      <c r="C18" s="83">
        <f>IF(B18=0,0,1/B18)</f>
        <v/>
      </c>
      <c r="D18" s="50" t="n"/>
      <c r="E18" s="50" t="n"/>
    </row>
    <row r="19" ht="15" customHeight="1" s="44">
      <c r="A19" s="65" t="n">
        <v>65</v>
      </c>
      <c r="B19" s="62" t="n">
        <v>0.59</v>
      </c>
      <c r="C19" s="83">
        <f>IF(B19=0,0,1/B19)</f>
        <v/>
      </c>
      <c r="D19" s="50" t="n"/>
      <c r="E19" s="50" t="n"/>
    </row>
    <row r="20" ht="15" customHeight="1" s="44">
      <c r="A20" s="65" t="n">
        <v>75</v>
      </c>
      <c r="B20" s="62" t="n">
        <v>0.91</v>
      </c>
      <c r="C20" s="83">
        <f>IF(B20=0,0,1/B20)</f>
        <v/>
      </c>
      <c r="D20" s="50" t="n"/>
      <c r="E20" s="50" t="n"/>
    </row>
    <row r="21" ht="15" customHeight="1" s="44">
      <c r="A21" s="50" t="n"/>
      <c r="B21" s="50" t="n"/>
      <c r="C21" s="50" t="n"/>
      <c r="D21" s="50" t="n"/>
      <c r="E21" s="50" t="n"/>
    </row>
    <row r="22" ht="15" customHeight="1" s="44">
      <c r="A22" s="52" t="inlineStr">
        <is>
          <t>Reading: a 5-point rating edge roughly doubles win chance; 15 points makes a dog odds-on. Slightly steep — the real engine should add a little more race-day noise so upsets stay common enough for betting to be fun.</t>
        </is>
      </c>
      <c r="B22" s="50" t="n"/>
      <c r="C22" s="50" t="n"/>
      <c r="D22" s="50" t="n"/>
      <c r="E22" s="50" t="n"/>
    </row>
    <row r="23" ht="15" customHeight="1" s="44">
      <c r="A23" s="52" t="inlineStr">
        <is>
          <t>Takeaway for balance: a smart stable roughly triples starting worth (≈22k → ≈62k) and bad luck can still leave it near zero cash — matches the intended "one bad fortnight hurts" target.</t>
        </is>
      </c>
      <c r="B23" s="50" t="n"/>
      <c r="C23" s="50" t="n"/>
      <c r="D23" s="50" t="n"/>
      <c r="E23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2026-09-07T04:18:14Z</dcterms:created>
  <dcterms:modified xmlns:dcterms="http://purl.org/dc/terms/" xmlns:xsi="http://www.w3.org/2001/XMLSchema-instance" xsi:type="dcterms:W3CDTF">2026-09-12T05:14:41Z</dcterms:modified>
  <cp:revision>0</cp:revision>
</cp:coreProperties>
</file>