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Assumptions" sheetId="2" state="visible" r:id="rId4"/>
    <sheet name="Purse Schedule" sheetId="3" state="visible" r:id="rId5"/>
    <sheet name="Dog Value" sheetId="4" state="visible" r:id="rId6"/>
    <sheet name="Cashflow" sheetId="5" state="visible" r:id="rId7"/>
    <sheet name="Upgrades" sheetId="6" state="visible" r:id="rId8"/>
    <sheet name="Betting" sheetId="7" state="visible" r:id="rId9"/>
    <sheet name="Sim Resul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<sst xmlns="http://schemas.openxmlformats.org/spreadsheetml/2006/main" count="329" uniqueCount="237">
  <si>
    <t xml:space="preserve">Space Dog Racing — Economy Balance Model</t>
  </si>
  <si>
    <t xml:space="preserve">Purpose: tune the 13-week season economy BEFORE any code exists. Every number the game engine needs lives on the Assumptions sheet.</t>
  </si>
  <si>
    <t xml:space="preserve">Change a blue cell and every other sheet recalculates.</t>
  </si>
  <si>
    <t xml:space="preserve">Legend</t>
  </si>
  <si>
    <t xml:space="preserve">  Blue text = hardcoded input / design lever (edit these).</t>
  </si>
  <si>
    <t xml:space="preserve">  Black text = formula (do not edit).</t>
  </si>
  <si>
    <t xml:space="preserve">  Green text = link to another sheet.</t>
  </si>
  <si>
    <t xml:space="preserve">  Yellow fill = key assumptions worth revisiting after playtesting.</t>
  </si>
  <si>
    <t xml:space="preserve">Sheets</t>
  </si>
  <si>
    <t xml:space="preserve">  Assumptions — all tunables: purses, Major multipliers, costs, dog valuation, food trade, betting margin, starting position.</t>
  </si>
  <si>
    <t xml:space="preserve">  Purse Schedule — the 13-week calendar of prize money by class, with Majors on weeks 4, 7, 10 and 13.</t>
  </si>
  <si>
    <t xml:space="preserve">  Dog Value — rating → market value table by age; the formula behind end-of-season net worth.</t>
  </si>
  <si>
    <t xml:space="preserve">  Cashflow — week-by-week P&amp;L for three archetype stables (Cautious, Average, Aggressive) to check growth curve and bankruptcy risk.</t>
  </si>
  <si>
    <t xml:space="preserve">  Upgrades — cost, weekly benefit and payback for every purchasable item; the "last sensible week to buy" column drives shop design.</t>
  </si>
  <si>
    <t xml:space="preserve">  Betting — win probability → odds with house margin, plus the expected value of a bet at each probability.</t>
  </si>
  <si>
    <t xml:space="preserve">  Sim Results — outputs of a 200-season Monte Carlo (Python, sim.py) used to seed the defaults. Hardcoded snapshot, not formulas.</t>
  </si>
  <si>
    <t xml:space="preserve">Design targets baked into the defaults</t>
  </si>
  <si>
    <t xml:space="preserve">  • Starting net worth ≈ 20–25k Bones; a competent human finishes at 60–100k; the best AI on Hard should reach ~120k.</t>
  </si>
  <si>
    <t xml:space="preserve">  • Prize money is the main income; food trading is a 10–25% supplement; betting is high-variance, roughly zero EV before information advantages.</t>
  </si>
  <si>
    <t xml:space="preserve">  • Every upgrade must pay for itself within 4–5 weeks or nobody will buy it after week 8.</t>
  </si>
  <si>
    <t xml:space="preserve">  • Weekly running costs should be 25–40% of an average stable's weekly prize income so a bad fortnight hurts but does not end the game.</t>
  </si>
  <si>
    <t xml:space="preserve">Source: all figures are design assumptions proposed by Claude for Jesse's game (Sept 2026) — none are external data.</t>
  </si>
  <si>
    <t xml:space="preserve">Assumptions (edit blue cells)</t>
  </si>
  <si>
    <t xml:space="preserve">Currency &amp; season</t>
  </si>
  <si>
    <t xml:space="preserve">Currency name</t>
  </si>
  <si>
    <t xml:space="preserve">Bones</t>
  </si>
  <si>
    <t xml:space="preserve">Flavour only</t>
  </si>
  <si>
    <t xml:space="preserve">Race weekends per season</t>
  </si>
  <si>
    <t xml:space="preserve">Fixed by design</t>
  </si>
  <si>
    <t xml:space="preserve">Traps (runners) per race</t>
  </si>
  <si>
    <t xml:space="preserve">Empty traps are filled with local "planet" dogs</t>
  </si>
  <si>
    <t xml:space="preserve">Major purse multiplier (weeks 4, 7, 10)</t>
  </si>
  <si>
    <t xml:space="preserve">Golf-style Majors</t>
  </si>
  <si>
    <t xml:space="preserve">Grand Final purse multiplier (week 13)</t>
  </si>
  <si>
    <t xml:space="preserve">Season finale, biggest payday</t>
  </si>
  <si>
    <t xml:space="preserve">Standard weekend purses (1st / 2nd / 3rd)</t>
  </si>
  <si>
    <t xml:space="preserve">Bronze 1st</t>
  </si>
  <si>
    <t xml:space="preserve">Bronze 2nd</t>
  </si>
  <si>
    <t xml:space="preserve">Bronze 3rd</t>
  </si>
  <si>
    <t xml:space="preserve">Silver 1st</t>
  </si>
  <si>
    <t xml:space="preserve">Silver 2nd</t>
  </si>
  <si>
    <t xml:space="preserve">Silver 3rd</t>
  </si>
  <si>
    <t xml:space="preserve">Gold 1st</t>
  </si>
  <si>
    <t xml:space="preserve">Gold 2nd</t>
  </si>
  <si>
    <t xml:space="preserve">Gold 3rd</t>
  </si>
  <si>
    <t xml:space="preserve">Class eligibility (rating caps — dogs may always race UP a class)</t>
  </si>
  <si>
    <t xml:space="preserve">Bronze: max rating</t>
  </si>
  <si>
    <t xml:space="preserve">A dog rated above this cannot sandbag into Bronze</t>
  </si>
  <si>
    <t xml:space="preserve">Silver: max rating</t>
  </si>
  <si>
    <t xml:space="preserve">Gold has no cap</t>
  </si>
  <si>
    <t xml:space="preserve">Weekly running costs</t>
  </si>
  <si>
    <t xml:space="preserve">Kennel upkeep per dog</t>
  </si>
  <si>
    <t xml:space="preserve">Charged for every dog owned, racing or reserve</t>
  </si>
  <si>
    <t xml:space="preserve">Food units eaten per dog per week</t>
  </si>
  <si>
    <t xml:space="preserve">Consumed from ship cargo; if none, buy at local price</t>
  </si>
  <si>
    <t xml:space="preserve">Ship fuel per jump (base)</t>
  </si>
  <si>
    <t xml:space="preserve">Scaled by cargo weight in-engine</t>
  </si>
  <si>
    <t xml:space="preserve">Trainer wage per week</t>
  </si>
  <si>
    <t xml:space="preserve">+ stat growth, see Upgrades</t>
  </si>
  <si>
    <t xml:space="preserve">Vet wage per week</t>
  </si>
  <si>
    <t xml:space="preserve">Halves injury duration, faster fitness recovery</t>
  </si>
  <si>
    <t xml:space="preserve">Food trading</t>
  </si>
  <si>
    <t xml:space="preserve">Food price: cheapest planet</t>
  </si>
  <si>
    <t xml:space="preserve">Farming worlds</t>
  </si>
  <si>
    <t xml:space="preserve">Food price: dearest planet</t>
  </si>
  <si>
    <t xml:space="preserve">Mining / casino worlds</t>
  </si>
  <si>
    <t xml:space="preserve">Typical realised margin per unit</t>
  </si>
  <si>
    <t xml:space="preserve">Assumes you cannot always hit best pairs; buy/sell spread eats some</t>
  </si>
  <si>
    <t xml:space="preserve">Starting cargo capacity (units)</t>
  </si>
  <si>
    <t xml:space="preserve">Cargo hold upgrade (+units)</t>
  </si>
  <si>
    <t xml:space="preserve">Starting position</t>
  </si>
  <si>
    <t xml:space="preserve">Starting cash</t>
  </si>
  <si>
    <t xml:space="preserve">Starting dogs</t>
  </si>
  <si>
    <t xml:space="preserve">Ratings roughly 38–48</t>
  </si>
  <si>
    <t xml:space="preserve">Average starting dog rating</t>
  </si>
  <si>
    <t xml:space="preserve">Starting ship value</t>
  </si>
  <si>
    <t xml:space="preserve">Dog valuation  value = (a + b × rating²) × age factor</t>
  </si>
  <si>
    <t xml:space="preserve">a (floor)</t>
  </si>
  <si>
    <t xml:space="preserve">b (curve)</t>
  </si>
  <si>
    <t xml:space="preserve">Quadratic so elite dogs are worth far more than good ones</t>
  </si>
  <si>
    <t xml:space="preserve">Age factor: 1 (pup, high upside)</t>
  </si>
  <si>
    <t xml:space="preserve">Age factor: 2</t>
  </si>
  <si>
    <t xml:space="preserve">Age factor: 3 (peak)</t>
  </si>
  <si>
    <t xml:space="preserve">Age factor: 4</t>
  </si>
  <si>
    <t xml:space="preserve">Age factor: 5 (declining)</t>
  </si>
  <si>
    <t xml:space="preserve">Age factor: 6+ (retire soon)</t>
  </si>
  <si>
    <t xml:space="preserve">Betting</t>
  </si>
  <si>
    <t xml:space="preserve">House margin (overround)</t>
  </si>
  <si>
    <t xml:space="preserve">Odds = (1 − margin) ÷ win probability</t>
  </si>
  <si>
    <t xml:space="preserve">Max stake per race (% of cash)</t>
  </si>
  <si>
    <t xml:space="preserve">Stops all-in swings ending the game on week 2</t>
  </si>
  <si>
    <t xml:space="preserve">Archetype finish-share assumptions (Cashflow sheet)</t>
  </si>
  <si>
    <t xml:space="preserve">Expected share of each class's total purse a stable captures per weekend (0 = never places, 1 = wins everything).</t>
  </si>
  <si>
    <t xml:space="preserve">Archetype</t>
  </si>
  <si>
    <t xml:space="preserve">Bronze share</t>
  </si>
  <si>
    <t xml:space="preserve">Silver share</t>
  </si>
  <si>
    <t xml:space="preserve">Gold share</t>
  </si>
  <si>
    <t xml:space="preserve">Cautious</t>
  </si>
  <si>
    <t xml:space="preserve">Average</t>
  </si>
  <si>
    <t xml:space="preserve">Aggressive</t>
  </si>
  <si>
    <t xml:space="preserve">Rule of thumb: a fair 8-dog field gives each stable 12.5% of the purse; a favourite ~25–35%; an outclassed dog ~3–5%.</t>
  </si>
  <si>
    <t xml:space="preserve">Purse Schedule — prize money on offer each weekend</t>
  </si>
  <si>
    <t xml:space="preserve">Week</t>
  </si>
  <si>
    <t xml:space="preserve">Event</t>
  </si>
  <si>
    <t xml:space="preserve">Multiplier</t>
  </si>
  <si>
    <t xml:space="preserve">Total purse</t>
  </si>
  <si>
    <t xml:space="preserve">Regular</t>
  </si>
  <si>
    <t xml:space="preserve">Major</t>
  </si>
  <si>
    <t xml:space="preserve">Grand Final</t>
  </si>
  <si>
    <t xml:space="preserve">Season total</t>
  </si>
  <si>
    <t xml:space="preserve">Majors share</t>
  </si>
  <si>
    <t xml:space="preserve">Per-race standard purse totals</t>
  </si>
  <si>
    <t xml:space="preserve">Class</t>
  </si>
  <si>
    <t xml:space="preserve">Per-trap avg</t>
  </si>
  <si>
    <t xml:space="preserve">Bronze</t>
  </si>
  <si>
    <t xml:space="preserve">Silver</t>
  </si>
  <si>
    <t xml:space="preserve">Gold</t>
  </si>
  <si>
    <t xml:space="preserve">Note: the Event column (blue) can be re-typed to move Majors around. Empty traps are filled with local dogs, who also take prize money — so a stable's share of a purse is never 100%.</t>
  </si>
  <si>
    <t xml:space="preserve">Dog Value — market value by rating and age</t>
  </si>
  <si>
    <t xml:space="preserve">Formula: (a + b × rating²) × age factor. This is what "net worth" counts a dog as at season end and the anchor for market prices (±20% by planet and haggling).</t>
  </si>
  <si>
    <t xml:space="preserve">Rating</t>
  </si>
  <si>
    <t xml:space="preserve">Age 1</t>
  </si>
  <si>
    <t xml:space="preserve">Age 2</t>
  </si>
  <si>
    <t xml:space="preserve">Age 3</t>
  </si>
  <si>
    <t xml:space="preserve">Age 4</t>
  </si>
  <si>
    <t xml:space="preserve">Age 5</t>
  </si>
  <si>
    <t xml:space="preserve">Age 6+</t>
  </si>
  <si>
    <t xml:space="preserve">Starting stable</t>
  </si>
  <si>
    <t xml:space="preserve">Dogs value</t>
  </si>
  <si>
    <t xml:space="preserve">Cash</t>
  </si>
  <si>
    <t xml:space="preserve">Ship</t>
  </si>
  <si>
    <t xml:space="preserve">Start net worth</t>
  </si>
  <si>
    <t xml:space="preserve">Cashflow — week-by-week P&amp;L for three archetype stables</t>
  </si>
  <si>
    <t xml:space="preserve">Prize income = finish share × class purse that week (shares on Assumptions). Costs assume 4 dogs from week 3 and a trainer from week 2 for Average/Aggressive. Food trade assumes cargo filled every jump at the typical margin.</t>
  </si>
  <si>
    <t xml:space="preserve">Line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</si>
  <si>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</si>
  <si>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</si>
  <si>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</si>
  <si>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</si>
  <si>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</si>
  <si>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</si>
  <si>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</si>
  <si>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</si>
  <si>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</si>
  <si>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</si>
  <si>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</si>
  <si>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Wk 12</t>
  </si>
  <si>
    <t xml:space="preserve">Wk 13</t>
  </si>
  <si>
    <t xml:space="preserve">Season</t>
  </si>
  <si>
    <t xml:space="preserve">Dogs owned</t>
  </si>
  <si>
    <t xml:space="preserve">Trainer hired</t>
  </si>
  <si>
    <t xml:space="preserve">Cargo capacity</t>
  </si>
  <si>
    <t xml:space="preserve">Bronze prize</t>
  </si>
  <si>
    <t xml:space="preserve">Silver prize</t>
  </si>
  <si>
    <t xml:space="preserve">Gold prize</t>
  </si>
  <si>
    <t xml:space="preserve">Food trade profit</t>
  </si>
  <si>
    <t xml:space="preserve">Total income</t>
  </si>
  <si>
    <t xml:space="preserve">Kennel upkeep</t>
  </si>
  <si>
    <t xml:space="preserve">Food eaten (at avg price)</t>
  </si>
  <si>
    <t xml:space="preserve">Fuel</t>
  </si>
  <si>
    <t xml:space="preserve">Trainer wage</t>
  </si>
  <si>
    <t xml:space="preserve">Total costs</t>
  </si>
  <si>
    <t xml:space="preserve">Net cash this week</t>
  </si>
  <si>
    <t xml:space="preserve">Cumulative cash</t>
  </si>
  <si>
    <t xml:space="preserve">Costs as % of income</t>
  </si>
  <si>
    <t xml:space="preserve">Season summary</t>
  </si>
  <si>
    <t xml:space="preserve">End cash</t>
  </si>
  <si>
    <t xml:space="preserve">Start worth</t>
  </si>
  <si>
    <t xml:space="preserve">Cash growth</t>
  </si>
  <si>
    <t xml:space="preserve">Prize income</t>
  </si>
  <si>
    <t xml:space="preserve">Costs</t>
  </si>
  <si>
    <t xml:space="preserve">Cost ratio</t>
  </si>
  <si>
    <t xml:space="preserve">Note: end cash excludes dog appreciation (training raises rating → value) and any betting. Real net worth = cash + dogs + ship + cargo − debt.</t>
  </si>
  <si>
    <t xml:space="preserve">Upgrades — cost, benefit and payback</t>
  </si>
  <si>
    <t xml:space="preserve">Payback weeks = cost ÷ weekly benefit. "Last sensible week to buy" = 13 − payback (rounded up). Items nobody would buy after week 8 need a resale value or should be cheaper.</t>
  </si>
  <si>
    <t xml:space="preserve">Item</t>
  </si>
  <si>
    <t xml:space="preserve">Cost</t>
  </si>
  <si>
    <t xml:space="preserve">Weekly running cost</t>
  </si>
  <si>
    <t xml:space="preserve">Weekly benefit</t>
  </si>
  <si>
    <t xml:space="preserve">Net weekly</t>
  </si>
  <si>
    <t xml:space="preserve">Payback (weeks)</t>
  </si>
  <si>
    <t xml:space="preserve">Last sensible week to buy</t>
  </si>
  <si>
    <t xml:space="preserve">How the benefit is estimated</t>
  </si>
  <si>
    <t xml:space="preserve">Trainer (staff)</t>
  </si>
  <si>
    <t xml:space="preserve">Adds ~1 stat point/week to one dog → +0.5 rating/week → ~+2% purse share across 3 races + dog value gain (~+120/week per dog)</t>
  </si>
  <si>
    <t xml:space="preserve">Vet (staff)</t>
  </si>
  <si>
    <t xml:space="preserve">Halves injury downtime; avoids ~1 missed race per 6 weeks (~1/6 of average weekly prize)</t>
  </si>
  <si>
    <t xml:space="preserve">Cargo hold +20 units</t>
  </si>
  <si>
    <t xml:space="preserve">Extra units × typical food margin, cargo filled every jump</t>
  </si>
  <si>
    <t xml:space="preserve">Engine upgrade (turn order)</t>
  </si>
  <si>
    <t xml:space="preserve">First pick at market ≈ better dog/upgrade deals; soft value, estimated</t>
  </si>
  <si>
    <t xml:space="preserve">Kennel module (+1 dog slot, 4→5)</t>
  </si>
  <si>
    <t xml:space="preserve">Fifth dog = a spare to rotate for fitness + resale; ~1/4 of average prize</t>
  </si>
  <si>
    <t xml:space="preserve">Track-day pass (one-off training camp)</t>
  </si>
  <si>
    <t xml:space="preserve">+3 to one stat immediately; value spread over 4 weeks</t>
  </si>
  <si>
    <t xml:space="preserve">Performance "supplement" (one race)</t>
  </si>
  <si>
    <t xml:space="preserve">+8 speed for one race, 15% chance of ban (lose the purse). EV shown</t>
  </si>
  <si>
    <t xml:space="preserve">Buy a rating-60 dog (age 3)</t>
  </si>
  <si>
    <t xml:space="preserve">Silver favourite: ~30% share of Silver purse each week + holds value</t>
  </si>
  <si>
    <t xml:space="preserve">Buy a rating-80 dog (age 3)</t>
  </si>
  <si>
    <t xml:space="preserve">Gold contender: ~35% share of Gold purse; Majors make this the best late buy</t>
  </si>
  <si>
    <t xml:space="preserve">Weekly benefit figures (blue) are design estimates from the Monte Carlo (Sim Results) and the archetype shares — revisit after the first playable build.</t>
  </si>
  <si>
    <t xml:space="preserve">Betting — odds and expected value</t>
  </si>
  <si>
    <t xml:space="preserve">Decimal odds = (1 − house margin) ÷ win probability. The bookie's probability comes from ratings; a player who knows something the ratings don't (a hidden injury, a doped dog, a thrown race) gets positive EV.</t>
  </si>
  <si>
    <t xml:space="preserve">Win prob (bookie)</t>
  </si>
  <si>
    <t xml:space="preserve">Decimal odds</t>
  </si>
  <si>
    <t xml:space="preserve">Return on 100</t>
  </si>
  <si>
    <t xml:space="preserve">EV on 100 (fair)</t>
  </si>
  <si>
    <t xml:space="preserve">EV if true prob +10pts</t>
  </si>
  <si>
    <t xml:space="preserve">Reading</t>
  </si>
  <si>
    <t xml:space="preserve">No-hoper</t>
  </si>
  <si>
    <t xml:space="preserve">Outsider</t>
  </si>
  <si>
    <t xml:space="preserve">Fair-field average</t>
  </si>
  <si>
    <t xml:space="preserve">One of eight</t>
  </si>
  <si>
    <t xml:space="preserve">Fancied</t>
  </si>
  <si>
    <t xml:space="preserve">Favourite</t>
  </si>
  <si>
    <t xml:space="preserve">Strong favourite</t>
  </si>
  <si>
    <t xml:space="preserve">Odds-on</t>
  </si>
  <si>
    <t xml:space="preserve">Banker</t>
  </si>
  <si>
    <t xml:space="preserve">Design intent: with a 15% margin every "honest" bet loses ~15 per 100 on average, so betting is a money lever only when you have an edge (or are throwing your own race). That is exactly the grimy incentive we want.</t>
  </si>
  <si>
    <t xml:space="preserve">Sim Results — 200-season Monte Carlo (sim.py, 6 players, defaults above)</t>
  </si>
  <si>
    <t xml:space="preserve">Hardcoded snapshot from the Python model, September 2026. Re-run sim.py after changing Assumptions to refresh. "Smart" AI maximises rating × purse when assigning dogs; "random" assigns at random and hires no trainer.</t>
  </si>
  <si>
    <t xml:space="preserve">Metric</t>
  </si>
  <si>
    <t xml:space="preserve">Smart AI</t>
  </si>
  <si>
    <t xml:space="preserve">Random AI</t>
  </si>
  <si>
    <t xml:space="preserve">End cash (mean)</t>
  </si>
  <si>
    <t xml:space="preserve">End cash (10th percentile)</t>
  </si>
  <si>
    <t xml:space="preserve">End cash (90th percentile)</t>
  </si>
  <si>
    <t xml:space="preserve">Prize income, season (mean)</t>
  </si>
  <si>
    <t xml:space="preserve">Running costs, season (mean)</t>
  </si>
  <si>
    <t xml:space="preserve">End net worth (mean)</t>
  </si>
  <si>
    <t xml:space="preserve">Race-sim calibration: win probability of one dog vs seven rating-50 dogs</t>
  </si>
  <si>
    <t xml:space="preserve">Dog quality</t>
  </si>
  <si>
    <t xml:space="preserve">Win probability</t>
  </si>
  <si>
    <t xml:space="preserve">Implied fair odds</t>
  </si>
  <si>
    <t xml:space="preserve">Reading: a 5-point rating edge roughly doubles win chance; 15 points makes a dog odds-on. Slightly steep — the real engine should add a little more race-day noise so upsets stay common enough for betting to be fun.</t>
  </si>
  <si>
    <t xml:space="preserve">Takeaway for balance: a smart stable roughly triples starting worth (≈22k → ≈62k) and bad luck can still leave it near zero cash — matches the intended "one bad fortnight hurts" target.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</si>
</sst>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0"/>
    <numFmt numFmtId="167" formatCode="0.0\x"/>
    <numFmt numFmtId="168" formatCode="#,##0;\(#,##0\);\-"/>
    <numFmt numFmtId="169" formatCode="0.0"/>
    <numFmt numFmtId="170" formatCode="0.00"/>
    <numFmt numFmtId="171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0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22</v>
      </c>
      <c r="B1" s="6"/>
      <c r="C1" s="6"/>
      <c r="D1" s="6"/>
    </row>
    <row r="2" customFormat="false" ht="15" hidden="false" customHeight="false" outlineLevel="0" collapsed="false">
      <c r="A2" s="6"/>
      <c r="B2" s="6"/>
      <c r="C2" s="6"/>
      <c r="D2" s="6"/>
    </row>
    <row r="3" customFormat="false" ht="15" hidden="false" customHeight="false" outlineLevel="0" collapsed="false">
      <c r="A3" s="3" t="s">
        <v>23</v>
      </c>
      <c r="B3" s="6"/>
      <c r="C3" s="6"/>
      <c r="D3" s="6"/>
    </row>
    <row r="4" customFormat="false" ht="15" hidden="false" customHeight="false" outlineLevel="0" collapsed="false">
      <c r="A4" s="2" t="s">
        <v>24</v>
      </c>
      <c r="B4" s="7" t="s">
        <v>25</v>
      </c>
      <c r="C4" s="8" t="s">
        <v>26</v>
      </c>
      <c r="D4" s="6"/>
    </row>
    <row r="5" customFormat="false" ht="15" hidden="false" customHeight="false" outlineLevel="0" collapsed="false">
      <c r="A5" s="2" t="s">
        <v>27</v>
      </c>
      <c r="B5" s="9" t="n">
        <v>13</v>
      </c>
      <c r="C5" s="8" t="s">
        <v>28</v>
      </c>
      <c r="D5" s="6"/>
    </row>
    <row r="6" customFormat="false" ht="15" hidden="false" customHeight="false" outlineLevel="0" collapsed="false">
      <c r="A6" s="2" t="s">
        <v>29</v>
      </c>
      <c r="B6" s="9" t="n">
        <v>8</v>
      </c>
      <c r="C6" s="8" t="s">
        <v>30</v>
      </c>
      <c r="D6" s="6"/>
    </row>
    <row r="7" customFormat="false" ht="15" hidden="false" customHeight="false" outlineLevel="0" collapsed="false">
      <c r="A7" s="2" t="s">
        <v>31</v>
      </c>
      <c r="B7" s="10" t="n">
        <v>2.5</v>
      </c>
      <c r="C7" s="8" t="s">
        <v>32</v>
      </c>
      <c r="D7" s="6"/>
    </row>
    <row r="8" customFormat="false" ht="15" hidden="false" customHeight="false" outlineLevel="0" collapsed="false">
      <c r="A8" s="2" t="s">
        <v>33</v>
      </c>
      <c r="B8" s="10" t="n">
        <v>4</v>
      </c>
      <c r="C8" s="8" t="s">
        <v>34</v>
      </c>
      <c r="D8" s="6"/>
    </row>
    <row r="9" customFormat="false" ht="15" hidden="false" customHeight="false" outlineLevel="0" collapsed="false">
      <c r="A9" s="3" t="s">
        <v>35</v>
      </c>
      <c r="B9" s="6"/>
      <c r="C9" s="6"/>
      <c r="D9" s="6"/>
    </row>
    <row r="10" customFormat="false" ht="15" hidden="false" customHeight="false" outlineLevel="0" collapsed="false">
      <c r="A10" s="2" t="s">
        <v>36</v>
      </c>
      <c r="B10" s="11" t="n">
        <v>1000</v>
      </c>
      <c r="C10" s="8"/>
      <c r="D10" s="6"/>
    </row>
    <row r="11" customFormat="false" ht="15" hidden="false" customHeight="false" outlineLevel="0" collapsed="false">
      <c r="A11" s="2" t="s">
        <v>37</v>
      </c>
      <c r="B11" s="11" t="n">
        <v>500</v>
      </c>
      <c r="C11" s="8"/>
      <c r="D11" s="6"/>
    </row>
    <row r="12" customFormat="false" ht="15" hidden="false" customHeight="false" outlineLevel="0" collapsed="false">
      <c r="A12" s="2" t="s">
        <v>38</v>
      </c>
      <c r="B12" s="11" t="n">
        <v>250</v>
      </c>
      <c r="C12" s="8"/>
      <c r="D12" s="6"/>
    </row>
    <row r="13" customFormat="false" ht="15" hidden="false" customHeight="false" outlineLevel="0" collapsed="false">
      <c r="A13" s="2" t="s">
        <v>39</v>
      </c>
      <c r="B13" s="11" t="n">
        <v>2500</v>
      </c>
      <c r="C13" s="8"/>
      <c r="D13" s="6"/>
    </row>
    <row r="14" customFormat="false" ht="15" hidden="false" customHeight="false" outlineLevel="0" collapsed="false">
      <c r="A14" s="2" t="s">
        <v>40</v>
      </c>
      <c r="B14" s="11" t="n">
        <v>1250</v>
      </c>
      <c r="C14" s="8"/>
      <c r="D14" s="6"/>
    </row>
    <row r="15" customFormat="false" ht="15" hidden="false" customHeight="false" outlineLevel="0" collapsed="false">
      <c r="A15" s="2" t="s">
        <v>41</v>
      </c>
      <c r="B15" s="11" t="n">
        <v>600</v>
      </c>
      <c r="C15" s="8"/>
      <c r="D15" s="6"/>
    </row>
    <row r="16" customFormat="false" ht="15" hidden="false" customHeight="false" outlineLevel="0" collapsed="false">
      <c r="A16" s="2" t="s">
        <v>42</v>
      </c>
      <c r="B16" s="12" t="n">
        <v>6000</v>
      </c>
      <c r="C16" s="8"/>
      <c r="D16" s="6"/>
    </row>
    <row r="17" customFormat="false" ht="15" hidden="false" customHeight="false" outlineLevel="0" collapsed="false">
      <c r="A17" s="2" t="s">
        <v>43</v>
      </c>
      <c r="B17" s="11" t="n">
        <v>3000</v>
      </c>
      <c r="C17" s="8"/>
      <c r="D17" s="6"/>
    </row>
    <row r="18" customFormat="false" ht="15" hidden="false" customHeight="false" outlineLevel="0" collapsed="false">
      <c r="A18" s="2" t="s">
        <v>44</v>
      </c>
      <c r="B18" s="11" t="n">
        <v>1500</v>
      </c>
      <c r="C18" s="8"/>
      <c r="D18" s="6"/>
    </row>
    <row r="19" customFormat="false" ht="15" hidden="false" customHeight="false" outlineLevel="0" collapsed="false">
      <c r="A19" s="3" t="s">
        <v>45</v>
      </c>
      <c r="B19" s="6"/>
      <c r="C19" s="6"/>
      <c r="D19" s="6"/>
    </row>
    <row r="20" customFormat="false" ht="15" hidden="false" customHeight="false" outlineLevel="0" collapsed="false">
      <c r="A20" s="2" t="s">
        <v>46</v>
      </c>
      <c r="B20" s="13" t="n">
        <v>45</v>
      </c>
      <c r="C20" s="8" t="s">
        <v>47</v>
      </c>
      <c r="D20" s="6"/>
    </row>
    <row r="21" customFormat="false" ht="15" hidden="false" customHeight="false" outlineLevel="0" collapsed="false">
      <c r="A21" s="2" t="s">
        <v>48</v>
      </c>
      <c r="B21" s="13" t="n">
        <v>70</v>
      </c>
      <c r="C21" s="8" t="s">
        <v>49</v>
      </c>
      <c r="D21" s="6"/>
    </row>
    <row r="22" customFormat="false" ht="15" hidden="false" customHeight="false" outlineLevel="0" collapsed="false">
      <c r="A22" s="3" t="s">
        <v>50</v>
      </c>
      <c r="B22" s="6"/>
      <c r="C22" s="6"/>
      <c r="D22" s="6"/>
    </row>
    <row r="23" customFormat="false" ht="15" hidden="false" customHeight="false" outlineLevel="0" collapsed="false">
      <c r="A23" s="2" t="s">
        <v>51</v>
      </c>
      <c r="B23" s="11" t="n">
        <v>150</v>
      </c>
      <c r="C23" s="8" t="s">
        <v>52</v>
      </c>
      <c r="D23" s="6"/>
    </row>
    <row r="24" customFormat="false" ht="15" hidden="false" customHeight="false" outlineLevel="0" collapsed="false">
      <c r="A24" s="2" t="s">
        <v>53</v>
      </c>
      <c r="B24" s="14" t="n">
        <v>1</v>
      </c>
      <c r="C24" s="8" t="s">
        <v>54</v>
      </c>
      <c r="D24" s="6"/>
    </row>
    <row r="25" customFormat="false" ht="15" hidden="false" customHeight="false" outlineLevel="0" collapsed="false">
      <c r="A25" s="2" t="s">
        <v>55</v>
      </c>
      <c r="B25" s="11" t="n">
        <v>250</v>
      </c>
      <c r="C25" s="8" t="s">
        <v>56</v>
      </c>
      <c r="D25" s="6"/>
    </row>
    <row r="26" customFormat="false" ht="15" hidden="false" customHeight="false" outlineLevel="0" collapsed="false">
      <c r="A26" s="2" t="s">
        <v>57</v>
      </c>
      <c r="B26" s="11" t="n">
        <v>400</v>
      </c>
      <c r="C26" s="8" t="s">
        <v>58</v>
      </c>
      <c r="D26" s="6"/>
    </row>
    <row r="27" customFormat="false" ht="15" hidden="false" customHeight="false" outlineLevel="0" collapsed="false">
      <c r="A27" s="2" t="s">
        <v>59</v>
      </c>
      <c r="B27" s="11" t="n">
        <v>300</v>
      </c>
      <c r="C27" s="8" t="s">
        <v>60</v>
      </c>
      <c r="D27" s="6"/>
    </row>
    <row r="28" customFormat="false" ht="15" hidden="false" customHeight="false" outlineLevel="0" collapsed="false">
      <c r="A28" s="3" t="s">
        <v>61</v>
      </c>
      <c r="B28" s="6"/>
      <c r="C28" s="6"/>
      <c r="D28" s="6"/>
    </row>
    <row r="29" customFormat="false" ht="15" hidden="false" customHeight="false" outlineLevel="0" collapsed="false">
      <c r="A29" s="2" t="s">
        <v>62</v>
      </c>
      <c r="B29" s="11" t="n">
        <v>40</v>
      </c>
      <c r="C29" s="8" t="s">
        <v>63</v>
      </c>
      <c r="D29" s="6"/>
    </row>
    <row r="30" customFormat="false" ht="15" hidden="false" customHeight="false" outlineLevel="0" collapsed="false">
      <c r="A30" s="2" t="s">
        <v>64</v>
      </c>
      <c r="B30" s="11" t="n">
        <v>140</v>
      </c>
      <c r="C30" s="8" t="s">
        <v>65</v>
      </c>
      <c r="D30" s="6"/>
    </row>
    <row r="31" customFormat="false" ht="15" hidden="false" customHeight="false" outlineLevel="0" collapsed="false">
      <c r="A31" s="2" t="s">
        <v>66</v>
      </c>
      <c r="B31" s="12" t="n">
        <v>45</v>
      </c>
      <c r="C31" s="8" t="s">
        <v>67</v>
      </c>
      <c r="D31" s="6"/>
    </row>
    <row r="32" customFormat="false" ht="15" hidden="false" customHeight="false" outlineLevel="0" collapsed="false">
      <c r="A32" s="2" t="s">
        <v>68</v>
      </c>
      <c r="B32" s="9" t="n">
        <v>20</v>
      </c>
      <c r="C32" s="8"/>
      <c r="D32" s="6"/>
    </row>
    <row r="33" customFormat="false" ht="15" hidden="false" customHeight="false" outlineLevel="0" collapsed="false">
      <c r="A33" s="2" t="s">
        <v>69</v>
      </c>
      <c r="B33" s="9" t="n">
        <v>20</v>
      </c>
      <c r="C33" s="8"/>
      <c r="D33" s="6"/>
    </row>
    <row r="34" customFormat="false" ht="15" hidden="false" customHeight="false" outlineLevel="0" collapsed="false">
      <c r="A34" s="3" t="s">
        <v>70</v>
      </c>
      <c r="B34" s="6"/>
      <c r="C34" s="6"/>
      <c r="D34" s="6"/>
    </row>
    <row r="35" customFormat="false" ht="15" hidden="false" customHeight="false" outlineLevel="0" collapsed="false">
      <c r="A35" s="2" t="s">
        <v>71</v>
      </c>
      <c r="B35" s="12" t="n">
        <v>6000</v>
      </c>
      <c r="C35" s="8"/>
      <c r="D35" s="6"/>
    </row>
    <row r="36" customFormat="false" ht="15" hidden="false" customHeight="false" outlineLevel="0" collapsed="false">
      <c r="A36" s="2" t="s">
        <v>72</v>
      </c>
      <c r="B36" s="9" t="n">
        <v>3</v>
      </c>
      <c r="C36" s="8" t="s">
        <v>73</v>
      </c>
      <c r="D36" s="6"/>
    </row>
    <row r="37" customFormat="false" ht="15" hidden="false" customHeight="false" outlineLevel="0" collapsed="false">
      <c r="A37" s="2" t="s">
        <v>74</v>
      </c>
      <c r="B37" s="9" t="n">
        <v>43</v>
      </c>
      <c r="C37" s="8"/>
      <c r="D37" s="6"/>
    </row>
    <row r="38" customFormat="false" ht="15" hidden="false" customHeight="false" outlineLevel="0" collapsed="false">
      <c r="A38" s="2" t="s">
        <v>75</v>
      </c>
      <c r="B38" s="11" t="n">
        <v>3000</v>
      </c>
      <c r="C38" s="8"/>
      <c r="D38" s="6"/>
    </row>
    <row r="39" customFormat="false" ht="15" hidden="false" customHeight="false" outlineLevel="0" collapsed="false">
      <c r="A39" s="3" t="s">
        <v>76</v>
      </c>
      <c r="B39" s="6"/>
      <c r="C39" s="6"/>
      <c r="D39" s="6"/>
    </row>
    <row r="40" customFormat="false" ht="15" hidden="false" customHeight="false" outlineLevel="0" collapsed="false">
      <c r="A40" s="2" t="s">
        <v>77</v>
      </c>
      <c r="B40" s="11" t="n">
        <v>400</v>
      </c>
      <c r="C40" s="8"/>
      <c r="D40" s="6"/>
    </row>
    <row r="41" customFormat="false" ht="15" hidden="false" customHeight="false" outlineLevel="0" collapsed="false">
      <c r="A41" s="2" t="s">
        <v>78</v>
      </c>
      <c r="B41" s="15" t="n">
        <v>2.2</v>
      </c>
      <c r="C41" s="8" t="s">
        <v>79</v>
      </c>
      <c r="D41" s="6"/>
    </row>
    <row r="42" customFormat="false" ht="15" hidden="false" customHeight="false" outlineLevel="0" collapsed="false">
      <c r="A42" s="2" t="s">
        <v>80</v>
      </c>
      <c r="B42" s="16" t="n">
        <v>1.15</v>
      </c>
      <c r="C42" s="8"/>
      <c r="D42" s="6"/>
    </row>
    <row r="43" customFormat="false" ht="15" hidden="false" customHeight="false" outlineLevel="0" collapsed="false">
      <c r="A43" s="2" t="s">
        <v>81</v>
      </c>
      <c r="B43" s="16" t="n">
        <v>1.1</v>
      </c>
      <c r="C43" s="8"/>
      <c r="D43" s="6"/>
    </row>
    <row r="44" customFormat="false" ht="15" hidden="false" customHeight="false" outlineLevel="0" collapsed="false">
      <c r="A44" s="2" t="s">
        <v>82</v>
      </c>
      <c r="B44" s="16" t="n">
        <v>1</v>
      </c>
      <c r="C44" s="8"/>
      <c r="D44" s="6"/>
    </row>
    <row r="45" customFormat="false" ht="15" hidden="false" customHeight="false" outlineLevel="0" collapsed="false">
      <c r="A45" s="2" t="s">
        <v>83</v>
      </c>
      <c r="B45" s="16" t="n">
        <v>0.85</v>
      </c>
      <c r="C45" s="8"/>
      <c r="D45" s="6"/>
    </row>
    <row r="46" customFormat="false" ht="15" hidden="false" customHeight="false" outlineLevel="0" collapsed="false">
      <c r="A46" s="2" t="s">
        <v>84</v>
      </c>
      <c r="B46" s="16" t="n">
        <v>0.65</v>
      </c>
      <c r="C46" s="8"/>
      <c r="D46" s="6"/>
    </row>
    <row r="47" customFormat="false" ht="15" hidden="false" customHeight="false" outlineLevel="0" collapsed="false">
      <c r="A47" s="2" t="s">
        <v>85</v>
      </c>
      <c r="B47" s="16" t="n">
        <v>0.45</v>
      </c>
      <c r="C47" s="8"/>
      <c r="D47" s="6"/>
    </row>
    <row r="48" customFormat="false" ht="15" hidden="false" customHeight="false" outlineLevel="0" collapsed="false">
      <c r="A48" s="3" t="s">
        <v>86</v>
      </c>
      <c r="B48" s="6"/>
      <c r="C48" s="6"/>
      <c r="D48" s="6"/>
    </row>
    <row r="49" customFormat="false" ht="15" hidden="false" customHeight="false" outlineLevel="0" collapsed="false">
      <c r="A49" s="2" t="s">
        <v>87</v>
      </c>
      <c r="B49" s="17" t="n">
        <v>0.15</v>
      </c>
      <c r="C49" s="8" t="s">
        <v>88</v>
      </c>
      <c r="D49" s="6"/>
    </row>
    <row r="50" customFormat="false" ht="15" hidden="false" customHeight="false" outlineLevel="0" collapsed="false">
      <c r="A50" s="2" t="s">
        <v>89</v>
      </c>
      <c r="B50" s="18" t="n">
        <v>0.5</v>
      </c>
      <c r="C50" s="8" t="s">
        <v>90</v>
      </c>
      <c r="D50" s="6"/>
    </row>
    <row r="51" customFormat="false" ht="15" hidden="false" customHeight="false" outlineLevel="0" collapsed="false">
      <c r="A51" s="3" t="s">
        <v>91</v>
      </c>
      <c r="B51" s="6"/>
      <c r="C51" s="6"/>
      <c r="D51" s="6"/>
    </row>
    <row r="52" customFormat="false" ht="15" hidden="false" customHeight="false" outlineLevel="0" collapsed="false">
      <c r="A52" s="8" t="s">
        <v>92</v>
      </c>
      <c r="B52" s="6"/>
      <c r="C52" s="6"/>
      <c r="D52" s="6"/>
    </row>
    <row r="53" customFormat="false" ht="15" hidden="false" customHeight="false" outlineLevel="0" collapsed="false">
      <c r="A53" s="19" t="s">
        <v>93</v>
      </c>
      <c r="B53" s="19" t="s">
        <v>94</v>
      </c>
      <c r="C53" s="19" t="s">
        <v>95</v>
      </c>
      <c r="D53" s="19" t="s">
        <v>96</v>
      </c>
    </row>
    <row r="54" customFormat="false" ht="15" hidden="false" customHeight="false" outlineLevel="0" collapsed="false">
      <c r="A54" s="2" t="s">
        <v>97</v>
      </c>
      <c r="B54" s="18" t="n">
        <v>0.3</v>
      </c>
      <c r="C54" s="18" t="n">
        <v>0.15</v>
      </c>
      <c r="D54" s="18" t="n">
        <v>0.05</v>
      </c>
    </row>
    <row r="55" customFormat="false" ht="15" hidden="false" customHeight="false" outlineLevel="0" collapsed="false">
      <c r="A55" s="2" t="s">
        <v>98</v>
      </c>
      <c r="B55" s="18" t="n">
        <v>0.18</v>
      </c>
      <c r="C55" s="18" t="n">
        <v>0.15</v>
      </c>
      <c r="D55" s="18" t="n">
        <v>0.12</v>
      </c>
    </row>
    <row r="56" customFormat="false" ht="15" hidden="false" customHeight="false" outlineLevel="0" collapsed="false">
      <c r="A56" s="2" t="s">
        <v>99</v>
      </c>
      <c r="B56" s="18" t="n">
        <v>0.08</v>
      </c>
      <c r="C56" s="18" t="n">
        <v>0.15</v>
      </c>
      <c r="D56" s="18" t="n">
        <v>0.2</v>
      </c>
    </row>
    <row r="57" customFormat="false" ht="15" hidden="false" customHeight="false" outlineLevel="0" collapsed="false">
      <c r="A57" s="8" t="s">
        <v>100</v>
      </c>
      <c r="B57" s="6"/>
      <c r="C57" s="6"/>
      <c r="D57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1" min="2" style="0" width="12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101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customFormat="false" ht="15" hidden="false" customHeight="false" outlineLevel="0" collapsed="false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26.85" hidden="false" customHeight="false" outlineLevel="0" collapsed="false">
      <c r="A3" s="19" t="s">
        <v>102</v>
      </c>
      <c r="B3" s="19" t="s">
        <v>103</v>
      </c>
      <c r="C3" s="19" t="s">
        <v>104</v>
      </c>
      <c r="D3" s="19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19" t="s">
        <v>105</v>
      </c>
    </row>
    <row r="4" customFormat="false" ht="15" hidden="false" customHeight="false" outlineLevel="0" collapsed="false">
      <c r="A4" s="20" t="n">
        <v>1</v>
      </c>
      <c r="B4" s="21" t="s">
        <v>106</v>
      </c>
      <c r="C4" s="22" t="n">
        <f aca="false">IF(B4="Grand Final",Assumptions!$B$8,IF(B4="Major",Assumptions!$B$7,1))</f>
        <v>1</v>
      </c>
      <c r="D4" s="23" t="n">
        <f aca="false">Assumptions!$B$10*$C4</f>
        <v>1000</v>
      </c>
      <c r="E4" s="23" t="n">
        <f aca="false">Assumptions!$B$11*$C4</f>
        <v>500</v>
      </c>
      <c r="F4" s="23" t="n">
        <f aca="false">Assumptions!$B$12*$C4</f>
        <v>250</v>
      </c>
      <c r="G4" s="23" t="n">
        <f aca="false">Assumptions!$B$13*$C4</f>
        <v>2500</v>
      </c>
      <c r="H4" s="23" t="n">
        <f aca="false">Assumptions!$B$14*$C4</f>
        <v>1250</v>
      </c>
      <c r="I4" s="23" t="n">
        <f aca="false">Assumptions!$B$15*$C4</f>
        <v>600</v>
      </c>
      <c r="J4" s="23" t="n">
        <f aca="false">Assumptions!$B$16*$C4</f>
        <v>6000</v>
      </c>
      <c r="K4" s="23" t="n">
        <f aca="false">Assumptions!$B$17*$C4</f>
        <v>3000</v>
      </c>
      <c r="L4" s="23" t="n">
        <f aca="false">Assumptions!$B$18*$C4</f>
        <v>1500</v>
      </c>
      <c r="M4" s="24" t="n">
        <f aca="false">SUM(D4:L4)</f>
        <v>16600</v>
      </c>
    </row>
    <row r="5" customFormat="false" ht="15" hidden="false" customHeight="false" outlineLevel="0" collapsed="false">
      <c r="A5" s="25" t="n">
        <v>2</v>
      </c>
      <c r="B5" s="26" t="s">
        <v>106</v>
      </c>
      <c r="C5" s="27" t="n">
        <f aca="false">IF(B5="Grand Final",Assumptions!$B$8,IF(B5="Major",Assumptions!$B$7,1))</f>
        <v>1</v>
      </c>
      <c r="D5" s="28" t="n">
        <f aca="false">Assumptions!$B$10*$C5</f>
        <v>1000</v>
      </c>
      <c r="E5" s="28" t="n">
        <f aca="false">Assumptions!$B$11*$C5</f>
        <v>500</v>
      </c>
      <c r="F5" s="28" t="n">
        <f aca="false">Assumptions!$B$12*$C5</f>
        <v>250</v>
      </c>
      <c r="G5" s="28" t="n">
        <f aca="false">Assumptions!$B$13*$C5</f>
        <v>2500</v>
      </c>
      <c r="H5" s="28" t="n">
        <f aca="false">Assumptions!$B$14*$C5</f>
        <v>1250</v>
      </c>
      <c r="I5" s="28" t="n">
        <f aca="false">Assumptions!$B$15*$C5</f>
        <v>600</v>
      </c>
      <c r="J5" s="28" t="n">
        <f aca="false">Assumptions!$B$16*$C5</f>
        <v>6000</v>
      </c>
      <c r="K5" s="28" t="n">
        <f aca="false">Assumptions!$B$17*$C5</f>
        <v>3000</v>
      </c>
      <c r="L5" s="28" t="n">
        <f aca="false">Assumptions!$B$18*$C5</f>
        <v>1500</v>
      </c>
      <c r="M5" s="29" t="n">
        <f aca="false">SUM(D5:L5)</f>
        <v>16600</v>
      </c>
    </row>
    <row r="6" customFormat="false" ht="15" hidden="false" customHeight="false" outlineLevel="0" collapsed="false">
      <c r="A6" s="20" t="n">
        <v>3</v>
      </c>
      <c r="B6" s="21" t="s">
        <v>106</v>
      </c>
      <c r="C6" s="22" t="n">
        <f aca="false">IF(B6="Grand Final",Assumptions!$B$8,IF(B6="Major",Assumptions!$B$7,1))</f>
        <v>1</v>
      </c>
      <c r="D6" s="23" t="n">
        <f aca="false">Assumptions!$B$10*$C6</f>
        <v>1000</v>
      </c>
      <c r="E6" s="23" t="n">
        <f aca="false">Assumptions!$B$11*$C6</f>
        <v>500</v>
      </c>
      <c r="F6" s="23" t="n">
        <f aca="false">Assumptions!$B$12*$C6</f>
        <v>250</v>
      </c>
      <c r="G6" s="23" t="n">
        <f aca="false">Assumptions!$B$13*$C6</f>
        <v>2500</v>
      </c>
      <c r="H6" s="23" t="n">
        <f aca="false">Assumptions!$B$14*$C6</f>
        <v>1250</v>
      </c>
      <c r="I6" s="23" t="n">
        <f aca="false">Assumptions!$B$15*$C6</f>
        <v>600</v>
      </c>
      <c r="J6" s="23" t="n">
        <f aca="false">Assumptions!$B$16*$C6</f>
        <v>6000</v>
      </c>
      <c r="K6" s="23" t="n">
        <f aca="false">Assumptions!$B$17*$C6</f>
        <v>3000</v>
      </c>
      <c r="L6" s="23" t="n">
        <f aca="false">Assumptions!$B$18*$C6</f>
        <v>1500</v>
      </c>
      <c r="M6" s="24" t="n">
        <f aca="false">SUM(D6:L6)</f>
        <v>16600</v>
      </c>
    </row>
    <row r="7" customFormat="false" ht="15" hidden="false" customHeight="false" outlineLevel="0" collapsed="false">
      <c r="A7" s="25" t="n">
        <v>4</v>
      </c>
      <c r="B7" s="26" t="s">
        <v>107</v>
      </c>
      <c r="C7" s="27" t="n">
        <f aca="false">IF(B7="Grand Final",Assumptions!$B$8,IF(B7="Major",Assumptions!$B$7,1))</f>
        <v>2.5</v>
      </c>
      <c r="D7" s="28" t="n">
        <f aca="false">Assumptions!$B$10*$C7</f>
        <v>2500</v>
      </c>
      <c r="E7" s="28" t="n">
        <f aca="false">Assumptions!$B$11*$C7</f>
        <v>1250</v>
      </c>
      <c r="F7" s="28" t="n">
        <f aca="false">Assumptions!$B$12*$C7</f>
        <v>625</v>
      </c>
      <c r="G7" s="28" t="n">
        <f aca="false">Assumptions!$B$13*$C7</f>
        <v>6250</v>
      </c>
      <c r="H7" s="28" t="n">
        <f aca="false">Assumptions!$B$14*$C7</f>
        <v>3125</v>
      </c>
      <c r="I7" s="28" t="n">
        <f aca="false">Assumptions!$B$15*$C7</f>
        <v>1500</v>
      </c>
      <c r="J7" s="28" t="n">
        <f aca="false">Assumptions!$B$16*$C7</f>
        <v>15000</v>
      </c>
      <c r="K7" s="28" t="n">
        <f aca="false">Assumptions!$B$17*$C7</f>
        <v>7500</v>
      </c>
      <c r="L7" s="28" t="n">
        <f aca="false">Assumptions!$B$18*$C7</f>
        <v>3750</v>
      </c>
      <c r="M7" s="29" t="n">
        <f aca="false">SUM(D7:L7)</f>
        <v>41500</v>
      </c>
    </row>
    <row r="8" customFormat="false" ht="15" hidden="false" customHeight="false" outlineLevel="0" collapsed="false">
      <c r="A8" s="20" t="n">
        <v>5</v>
      </c>
      <c r="B8" s="21" t="s">
        <v>106</v>
      </c>
      <c r="C8" s="22" t="n">
        <f aca="false">IF(B8="Grand Final",Assumptions!$B$8,IF(B8="Major",Assumptions!$B$7,1))</f>
        <v>1</v>
      </c>
      <c r="D8" s="23" t="n">
        <f aca="false">Assumptions!$B$10*$C8</f>
        <v>1000</v>
      </c>
      <c r="E8" s="23" t="n">
        <f aca="false">Assumptions!$B$11*$C8</f>
        <v>500</v>
      </c>
      <c r="F8" s="23" t="n">
        <f aca="false">Assumptions!$B$12*$C8</f>
        <v>250</v>
      </c>
      <c r="G8" s="23" t="n">
        <f aca="false">Assumptions!$B$13*$C8</f>
        <v>2500</v>
      </c>
      <c r="H8" s="23" t="n">
        <f aca="false">Assumptions!$B$14*$C8</f>
        <v>1250</v>
      </c>
      <c r="I8" s="23" t="n">
        <f aca="false">Assumptions!$B$15*$C8</f>
        <v>600</v>
      </c>
      <c r="J8" s="23" t="n">
        <f aca="false">Assumptions!$B$16*$C8</f>
        <v>6000</v>
      </c>
      <c r="K8" s="23" t="n">
        <f aca="false">Assumptions!$B$17*$C8</f>
        <v>3000</v>
      </c>
      <c r="L8" s="23" t="n">
        <f aca="false">Assumptions!$B$18*$C8</f>
        <v>1500</v>
      </c>
      <c r="M8" s="24" t="n">
        <f aca="false">SUM(D8:L8)</f>
        <v>16600</v>
      </c>
    </row>
    <row r="9" customFormat="false" ht="15" hidden="false" customHeight="false" outlineLevel="0" collapsed="false">
      <c r="A9" s="25" t="n">
        <v>6</v>
      </c>
      <c r="B9" s="26" t="s">
        <v>106</v>
      </c>
      <c r="C9" s="27" t="n">
        <f aca="false">IF(B9="Grand Final",Assumptions!$B$8,IF(B9="Major",Assumptions!$B$7,1))</f>
        <v>1</v>
      </c>
      <c r="D9" s="28" t="n">
        <f aca="false">Assumptions!$B$10*$C9</f>
        <v>1000</v>
      </c>
      <c r="E9" s="28" t="n">
        <f aca="false">Assumptions!$B$11*$C9</f>
        <v>500</v>
      </c>
      <c r="F9" s="28" t="n">
        <f aca="false">Assumptions!$B$12*$C9</f>
        <v>250</v>
      </c>
      <c r="G9" s="28" t="n">
        <f aca="false">Assumptions!$B$13*$C9</f>
        <v>2500</v>
      </c>
      <c r="H9" s="28" t="n">
        <f aca="false">Assumptions!$B$14*$C9</f>
        <v>1250</v>
      </c>
      <c r="I9" s="28" t="n">
        <f aca="false">Assumptions!$B$15*$C9</f>
        <v>600</v>
      </c>
      <c r="J9" s="28" t="n">
        <f aca="false">Assumptions!$B$16*$C9</f>
        <v>6000</v>
      </c>
      <c r="K9" s="28" t="n">
        <f aca="false">Assumptions!$B$17*$C9</f>
        <v>3000</v>
      </c>
      <c r="L9" s="28" t="n">
        <f aca="false">Assumptions!$B$18*$C9</f>
        <v>1500</v>
      </c>
      <c r="M9" s="29" t="n">
        <f aca="false">SUM(D9:L9)</f>
        <v>16600</v>
      </c>
    </row>
    <row r="10" customFormat="false" ht="15" hidden="false" customHeight="false" outlineLevel="0" collapsed="false">
      <c r="A10" s="20" t="n">
        <v>7</v>
      </c>
      <c r="B10" s="21" t="s">
        <v>107</v>
      </c>
      <c r="C10" s="22" t="n">
        <f aca="false">IF(B10="Grand Final",Assumptions!$B$8,IF(B10="Major",Assumptions!$B$7,1))</f>
        <v>2.5</v>
      </c>
      <c r="D10" s="23" t="n">
        <f aca="false">Assumptions!$B$10*$C10</f>
        <v>2500</v>
      </c>
      <c r="E10" s="23" t="n">
        <f aca="false">Assumptions!$B$11*$C10</f>
        <v>1250</v>
      </c>
      <c r="F10" s="23" t="n">
        <f aca="false">Assumptions!$B$12*$C10</f>
        <v>625</v>
      </c>
      <c r="G10" s="23" t="n">
        <f aca="false">Assumptions!$B$13*$C10</f>
        <v>6250</v>
      </c>
      <c r="H10" s="23" t="n">
        <f aca="false">Assumptions!$B$14*$C10</f>
        <v>3125</v>
      </c>
      <c r="I10" s="23" t="n">
        <f aca="false">Assumptions!$B$15*$C10</f>
        <v>1500</v>
      </c>
      <c r="J10" s="23" t="n">
        <f aca="false">Assumptions!$B$16*$C10</f>
        <v>15000</v>
      </c>
      <c r="K10" s="23" t="n">
        <f aca="false">Assumptions!$B$17*$C10</f>
        <v>7500</v>
      </c>
      <c r="L10" s="23" t="n">
        <f aca="false">Assumptions!$B$18*$C10</f>
        <v>3750</v>
      </c>
      <c r="M10" s="24" t="n">
        <f aca="false">SUM(D10:L10)</f>
        <v>41500</v>
      </c>
    </row>
    <row r="11" customFormat="false" ht="15" hidden="false" customHeight="false" outlineLevel="0" collapsed="false">
      <c r="A11" s="25" t="n">
        <v>8</v>
      </c>
      <c r="B11" s="26" t="s">
        <v>106</v>
      </c>
      <c r="C11" s="27" t="n">
        <f aca="false">IF(B11="Grand Final",Assumptions!$B$8,IF(B11="Major",Assumptions!$B$7,1))</f>
        <v>1</v>
      </c>
      <c r="D11" s="28" t="n">
        <f aca="false">Assumptions!$B$10*$C11</f>
        <v>1000</v>
      </c>
      <c r="E11" s="28" t="n">
        <f aca="false">Assumptions!$B$11*$C11</f>
        <v>500</v>
      </c>
      <c r="F11" s="28" t="n">
        <f aca="false">Assumptions!$B$12*$C11</f>
        <v>250</v>
      </c>
      <c r="G11" s="28" t="n">
        <f aca="false">Assumptions!$B$13*$C11</f>
        <v>2500</v>
      </c>
      <c r="H11" s="28" t="n">
        <f aca="false">Assumptions!$B$14*$C11</f>
        <v>1250</v>
      </c>
      <c r="I11" s="28" t="n">
        <f aca="false">Assumptions!$B$15*$C11</f>
        <v>600</v>
      </c>
      <c r="J11" s="28" t="n">
        <f aca="false">Assumptions!$B$16*$C11</f>
        <v>6000</v>
      </c>
      <c r="K11" s="28" t="n">
        <f aca="false">Assumptions!$B$17*$C11</f>
        <v>3000</v>
      </c>
      <c r="L11" s="28" t="n">
        <f aca="false">Assumptions!$B$18*$C11</f>
        <v>1500</v>
      </c>
      <c r="M11" s="29" t="n">
        <f aca="false">SUM(D11:L11)</f>
        <v>16600</v>
      </c>
    </row>
    <row r="12" customFormat="false" ht="15" hidden="false" customHeight="false" outlineLevel="0" collapsed="false">
      <c r="A12" s="20" t="n">
        <v>9</v>
      </c>
      <c r="B12" s="21" t="s">
        <v>106</v>
      </c>
      <c r="C12" s="22" t="n">
        <f aca="false">IF(B12="Grand Final",Assumptions!$B$8,IF(B12="Major",Assumptions!$B$7,1))</f>
        <v>1</v>
      </c>
      <c r="D12" s="23" t="n">
        <f aca="false">Assumptions!$B$10*$C12</f>
        <v>1000</v>
      </c>
      <c r="E12" s="23" t="n">
        <f aca="false">Assumptions!$B$11*$C12</f>
        <v>500</v>
      </c>
      <c r="F12" s="23" t="n">
        <f aca="false">Assumptions!$B$12*$C12</f>
        <v>250</v>
      </c>
      <c r="G12" s="23" t="n">
        <f aca="false">Assumptions!$B$13*$C12</f>
        <v>2500</v>
      </c>
      <c r="H12" s="23" t="n">
        <f aca="false">Assumptions!$B$14*$C12</f>
        <v>1250</v>
      </c>
      <c r="I12" s="23" t="n">
        <f aca="false">Assumptions!$B$15*$C12</f>
        <v>600</v>
      </c>
      <c r="J12" s="23" t="n">
        <f aca="false">Assumptions!$B$16*$C12</f>
        <v>6000</v>
      </c>
      <c r="K12" s="23" t="n">
        <f aca="false">Assumptions!$B$17*$C12</f>
        <v>3000</v>
      </c>
      <c r="L12" s="23" t="n">
        <f aca="false">Assumptions!$B$18*$C12</f>
        <v>1500</v>
      </c>
      <c r="M12" s="24" t="n">
        <f aca="false">SUM(D12:L12)</f>
        <v>16600</v>
      </c>
    </row>
    <row r="13" customFormat="false" ht="15" hidden="false" customHeight="false" outlineLevel="0" collapsed="false">
      <c r="A13" s="25" t="n">
        <v>10</v>
      </c>
      <c r="B13" s="26" t="s">
        <v>107</v>
      </c>
      <c r="C13" s="27" t="n">
        <f aca="false">IF(B13="Grand Final",Assumptions!$B$8,IF(B13="Major",Assumptions!$B$7,1))</f>
        <v>2.5</v>
      </c>
      <c r="D13" s="28" t="n">
        <f aca="false">Assumptions!$B$10*$C13</f>
        <v>2500</v>
      </c>
      <c r="E13" s="28" t="n">
        <f aca="false">Assumptions!$B$11*$C13</f>
        <v>1250</v>
      </c>
      <c r="F13" s="28" t="n">
        <f aca="false">Assumptions!$B$12*$C13</f>
        <v>625</v>
      </c>
      <c r="G13" s="28" t="n">
        <f aca="false">Assumptions!$B$13*$C13</f>
        <v>6250</v>
      </c>
      <c r="H13" s="28" t="n">
        <f aca="false">Assumptions!$B$14*$C13</f>
        <v>3125</v>
      </c>
      <c r="I13" s="28" t="n">
        <f aca="false">Assumptions!$B$15*$C13</f>
        <v>1500</v>
      </c>
      <c r="J13" s="28" t="n">
        <f aca="false">Assumptions!$B$16*$C13</f>
        <v>15000</v>
      </c>
      <c r="K13" s="28" t="n">
        <f aca="false">Assumptions!$B$17*$C13</f>
        <v>7500</v>
      </c>
      <c r="L13" s="28" t="n">
        <f aca="false">Assumptions!$B$18*$C13</f>
        <v>3750</v>
      </c>
      <c r="M13" s="29" t="n">
        <f aca="false">SUM(D13:L13)</f>
        <v>41500</v>
      </c>
    </row>
    <row r="14" customFormat="false" ht="15" hidden="false" customHeight="false" outlineLevel="0" collapsed="false">
      <c r="A14" s="20" t="n">
        <v>11</v>
      </c>
      <c r="B14" s="21" t="s">
        <v>106</v>
      </c>
      <c r="C14" s="22" t="n">
        <f aca="false">IF(B14="Grand Final",Assumptions!$B$8,IF(B14="Major",Assumptions!$B$7,1))</f>
        <v>1</v>
      </c>
      <c r="D14" s="23" t="n">
        <f aca="false">Assumptions!$B$10*$C14</f>
        <v>1000</v>
      </c>
      <c r="E14" s="23" t="n">
        <f aca="false">Assumptions!$B$11*$C14</f>
        <v>500</v>
      </c>
      <c r="F14" s="23" t="n">
        <f aca="false">Assumptions!$B$12*$C14</f>
        <v>250</v>
      </c>
      <c r="G14" s="23" t="n">
        <f aca="false">Assumptions!$B$13*$C14</f>
        <v>2500</v>
      </c>
      <c r="H14" s="23" t="n">
        <f aca="false">Assumptions!$B$14*$C14</f>
        <v>1250</v>
      </c>
      <c r="I14" s="23" t="n">
        <f aca="false">Assumptions!$B$15*$C14</f>
        <v>600</v>
      </c>
      <c r="J14" s="23" t="n">
        <f aca="false">Assumptions!$B$16*$C14</f>
        <v>6000</v>
      </c>
      <c r="K14" s="23" t="n">
        <f aca="false">Assumptions!$B$17*$C14</f>
        <v>3000</v>
      </c>
      <c r="L14" s="23" t="n">
        <f aca="false">Assumptions!$B$18*$C14</f>
        <v>1500</v>
      </c>
      <c r="M14" s="24" t="n">
        <f aca="false">SUM(D14:L14)</f>
        <v>16600</v>
      </c>
    </row>
    <row r="15" customFormat="false" ht="15" hidden="false" customHeight="false" outlineLevel="0" collapsed="false">
      <c r="A15" s="25" t="n">
        <v>12</v>
      </c>
      <c r="B15" s="26" t="s">
        <v>106</v>
      </c>
      <c r="C15" s="27" t="n">
        <f aca="false">IF(B15="Grand Final",Assumptions!$B$8,IF(B15="Major",Assumptions!$B$7,1))</f>
        <v>1</v>
      </c>
      <c r="D15" s="28" t="n">
        <f aca="false">Assumptions!$B$10*$C15</f>
        <v>1000</v>
      </c>
      <c r="E15" s="28" t="n">
        <f aca="false">Assumptions!$B$11*$C15</f>
        <v>500</v>
      </c>
      <c r="F15" s="28" t="n">
        <f aca="false">Assumptions!$B$12*$C15</f>
        <v>250</v>
      </c>
      <c r="G15" s="28" t="n">
        <f aca="false">Assumptions!$B$13*$C15</f>
        <v>2500</v>
      </c>
      <c r="H15" s="28" t="n">
        <f aca="false">Assumptions!$B$14*$C15</f>
        <v>1250</v>
      </c>
      <c r="I15" s="28" t="n">
        <f aca="false">Assumptions!$B$15*$C15</f>
        <v>600</v>
      </c>
      <c r="J15" s="28" t="n">
        <f aca="false">Assumptions!$B$16*$C15</f>
        <v>6000</v>
      </c>
      <c r="K15" s="28" t="n">
        <f aca="false">Assumptions!$B$17*$C15</f>
        <v>3000</v>
      </c>
      <c r="L15" s="28" t="n">
        <f aca="false">Assumptions!$B$18*$C15</f>
        <v>1500</v>
      </c>
      <c r="M15" s="29" t="n">
        <f aca="false">SUM(D15:L15)</f>
        <v>16600</v>
      </c>
    </row>
    <row r="16" customFormat="false" ht="15" hidden="false" customHeight="false" outlineLevel="0" collapsed="false">
      <c r="A16" s="20" t="n">
        <v>13</v>
      </c>
      <c r="B16" s="21" t="s">
        <v>108</v>
      </c>
      <c r="C16" s="22" t="n">
        <f aca="false">IF(B16="Grand Final",Assumptions!$B$8,IF(B16="Major",Assumptions!$B$7,1))</f>
        <v>4</v>
      </c>
      <c r="D16" s="23" t="n">
        <f aca="false">Assumptions!$B$10*$C16</f>
        <v>4000</v>
      </c>
      <c r="E16" s="23" t="n">
        <f aca="false">Assumptions!$B$11*$C16</f>
        <v>2000</v>
      </c>
      <c r="F16" s="23" t="n">
        <f aca="false">Assumptions!$B$12*$C16</f>
        <v>1000</v>
      </c>
      <c r="G16" s="23" t="n">
        <f aca="false">Assumptions!$B$13*$C16</f>
        <v>10000</v>
      </c>
      <c r="H16" s="23" t="n">
        <f aca="false">Assumptions!$B$14*$C16</f>
        <v>5000</v>
      </c>
      <c r="I16" s="23" t="n">
        <f aca="false">Assumptions!$B$15*$C16</f>
        <v>2400</v>
      </c>
      <c r="J16" s="23" t="n">
        <f aca="false">Assumptions!$B$16*$C16</f>
        <v>24000</v>
      </c>
      <c r="K16" s="23" t="n">
        <f aca="false">Assumptions!$B$17*$C16</f>
        <v>12000</v>
      </c>
      <c r="L16" s="23" t="n">
        <f aca="false">Assumptions!$B$18*$C16</f>
        <v>6000</v>
      </c>
      <c r="M16" s="24" t="n">
        <f aca="false">SUM(D16:L16)</f>
        <v>66400</v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3" t="s">
        <v>109</v>
      </c>
      <c r="M17" s="30" t="n">
        <f aca="false">SUM(M4:M16)</f>
        <v>340300</v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3" t="s">
        <v>110</v>
      </c>
      <c r="M18" s="31" t="n">
        <f aca="false">SUMIFS(M4:M16,B4:B16,"Major")/M17+SUMIFS(M4:M16,B4:B16,"Grand Final")/M17</f>
        <v>0.560975609756098</v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customFormat="false" ht="15" hidden="false" customHeight="false" outlineLevel="0" collapsed="false">
      <c r="A20" s="3" t="s">
        <v>111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customFormat="false" ht="26.85" hidden="false" customHeight="false" outlineLevel="0" collapsed="false">
      <c r="A21" s="19" t="s">
        <v>112</v>
      </c>
      <c r="B21" s="19" t="s">
        <v>105</v>
      </c>
      <c r="C21" s="19" t="s">
        <v>113</v>
      </c>
      <c r="D21" s="6"/>
      <c r="E21" s="6"/>
      <c r="F21" s="6"/>
      <c r="G21" s="6"/>
      <c r="H21" s="6"/>
      <c r="I21" s="6"/>
      <c r="J21" s="6"/>
      <c r="K21" s="6"/>
      <c r="L21" s="6"/>
      <c r="M21" s="6"/>
    </row>
    <row r="22" customFormat="false" ht="15" hidden="false" customHeight="false" outlineLevel="0" collapsed="false">
      <c r="A22" s="32" t="s">
        <v>114</v>
      </c>
      <c r="B22" s="24" t="n">
        <f aca="false">Assumptions!$B$10+Assumptions!$B$11+Assumptions!$B$12</f>
        <v>1750</v>
      </c>
      <c r="C22" s="24" t="n">
        <f aca="false">B22/Assumptions!$B$6</f>
        <v>218.75</v>
      </c>
      <c r="D22" s="6"/>
      <c r="E22" s="6"/>
      <c r="F22" s="6"/>
      <c r="G22" s="6"/>
      <c r="H22" s="6"/>
      <c r="I22" s="6"/>
      <c r="J22" s="6"/>
      <c r="K22" s="6"/>
      <c r="L22" s="6"/>
      <c r="M22" s="6"/>
    </row>
    <row r="23" customFormat="false" ht="15" hidden="false" customHeight="false" outlineLevel="0" collapsed="false">
      <c r="A23" s="32" t="s">
        <v>115</v>
      </c>
      <c r="B23" s="24" t="n">
        <f aca="false">Assumptions!$B$13+Assumptions!$B$14+Assumptions!$B$15</f>
        <v>4350</v>
      </c>
      <c r="C23" s="24" t="n">
        <f aca="false">B23/Assumptions!$B$6</f>
        <v>543.75</v>
      </c>
      <c r="D23" s="6"/>
      <c r="E23" s="6"/>
      <c r="F23" s="6"/>
      <c r="G23" s="6"/>
      <c r="H23" s="6"/>
      <c r="I23" s="6"/>
      <c r="J23" s="6"/>
      <c r="K23" s="6"/>
      <c r="L23" s="6"/>
      <c r="M23" s="6"/>
    </row>
    <row r="24" customFormat="false" ht="15" hidden="false" customHeight="false" outlineLevel="0" collapsed="false">
      <c r="A24" s="32" t="s">
        <v>116</v>
      </c>
      <c r="B24" s="24" t="n">
        <f aca="false">Assumptions!$B$16+Assumptions!$B$17+Assumptions!$B$18</f>
        <v>10500</v>
      </c>
      <c r="C24" s="24" t="n">
        <f aca="false">B24/Assumptions!$B$6</f>
        <v>1312.5</v>
      </c>
      <c r="D24" s="6"/>
      <c r="E24" s="6"/>
      <c r="F24" s="6"/>
      <c r="G24" s="6"/>
      <c r="H24" s="6"/>
      <c r="I24" s="6"/>
      <c r="J24" s="6"/>
      <c r="K24" s="6"/>
      <c r="L24" s="6"/>
      <c r="M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customFormat="false" ht="15" hidden="false" customHeight="false" outlineLevel="0" collapsed="false">
      <c r="A26" s="8" t="s">
        <v>117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7" min="2" style="0" width="14"/>
  </cols>
  <sheetData>
    <row r="1" customFormat="false" ht="17.35" hidden="false" customHeight="false" outlineLevel="0" collapsed="false">
      <c r="A1" s="1" t="s">
        <v>118</v>
      </c>
      <c r="B1" s="6"/>
      <c r="C1" s="6"/>
      <c r="D1" s="6"/>
      <c r="E1" s="6"/>
      <c r="F1" s="6"/>
      <c r="G1" s="6"/>
    </row>
    <row r="2" customFormat="false" ht="15" hidden="false" customHeight="false" outlineLevel="0" collapsed="false">
      <c r="A2" s="8" t="s">
        <v>119</v>
      </c>
      <c r="B2" s="6"/>
      <c r="C2" s="6"/>
      <c r="D2" s="6"/>
      <c r="E2" s="6"/>
      <c r="F2" s="6"/>
      <c r="G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</row>
    <row r="4" customFormat="false" ht="15" hidden="false" customHeight="false" outlineLevel="0" collapsed="false">
      <c r="A4" s="19" t="s">
        <v>120</v>
      </c>
      <c r="B4" s="19" t="s">
        <v>121</v>
      </c>
      <c r="C4" s="19" t="s">
        <v>122</v>
      </c>
      <c r="D4" s="19" t="s">
        <v>123</v>
      </c>
      <c r="E4" s="19" t="s">
        <v>124</v>
      </c>
      <c r="F4" s="19" t="s">
        <v>125</v>
      </c>
      <c r="G4" s="19" t="s">
        <v>126</v>
      </c>
    </row>
    <row r="5" customFormat="false" ht="15" hidden="false" customHeight="false" outlineLevel="0" collapsed="false">
      <c r="A5" s="20" t="n">
        <v>20</v>
      </c>
      <c r="B5" s="23" t="n">
        <f aca="false">(Assumptions!$B$40+Assumptions!$B$41*$A5^2)*Assumptions!$B$42</f>
        <v>1472</v>
      </c>
      <c r="C5" s="23" t="n">
        <f aca="false">(Assumptions!$B$40+Assumptions!$B$41*$A5^2)*Assumptions!$B$43</f>
        <v>1408</v>
      </c>
      <c r="D5" s="23" t="n">
        <f aca="false">(Assumptions!$B$40+Assumptions!$B$41*$A5^2)*Assumptions!$B$44</f>
        <v>1280</v>
      </c>
      <c r="E5" s="23" t="n">
        <f aca="false">(Assumptions!$B$40+Assumptions!$B$41*$A5^2)*Assumptions!$B$45</f>
        <v>1088</v>
      </c>
      <c r="F5" s="23" t="n">
        <f aca="false">(Assumptions!$B$40+Assumptions!$B$41*$A5^2)*Assumptions!$B$46</f>
        <v>832</v>
      </c>
      <c r="G5" s="23" t="n">
        <f aca="false">(Assumptions!$B$40+Assumptions!$B$41*$A5^2)*Assumptions!$B$47</f>
        <v>576</v>
      </c>
    </row>
    <row r="6" customFormat="false" ht="15" hidden="false" customHeight="false" outlineLevel="0" collapsed="false">
      <c r="A6" s="25" t="n">
        <v>25</v>
      </c>
      <c r="B6" s="28" t="n">
        <f aca="false">(Assumptions!$B$40+Assumptions!$B$41*$A6^2)*Assumptions!$B$42</f>
        <v>2041.25</v>
      </c>
      <c r="C6" s="28" t="n">
        <f aca="false">(Assumptions!$B$40+Assumptions!$B$41*$A6^2)*Assumptions!$B$43</f>
        <v>1952.5</v>
      </c>
      <c r="D6" s="28" t="n">
        <f aca="false">(Assumptions!$B$40+Assumptions!$B$41*$A6^2)*Assumptions!$B$44</f>
        <v>1775</v>
      </c>
      <c r="E6" s="28" t="n">
        <f aca="false">(Assumptions!$B$40+Assumptions!$B$41*$A6^2)*Assumptions!$B$45</f>
        <v>1508.75</v>
      </c>
      <c r="F6" s="28" t="n">
        <f aca="false">(Assumptions!$B$40+Assumptions!$B$41*$A6^2)*Assumptions!$B$46</f>
        <v>1153.75</v>
      </c>
      <c r="G6" s="28" t="n">
        <f aca="false">(Assumptions!$B$40+Assumptions!$B$41*$A6^2)*Assumptions!$B$47</f>
        <v>798.75</v>
      </c>
    </row>
    <row r="7" customFormat="false" ht="15" hidden="false" customHeight="false" outlineLevel="0" collapsed="false">
      <c r="A7" s="20" t="n">
        <v>30</v>
      </c>
      <c r="B7" s="23" t="n">
        <f aca="false">(Assumptions!$B$40+Assumptions!$B$41*$A7^2)*Assumptions!$B$42</f>
        <v>2737</v>
      </c>
      <c r="C7" s="23" t="n">
        <f aca="false">(Assumptions!$B$40+Assumptions!$B$41*$A7^2)*Assumptions!$B$43</f>
        <v>2618</v>
      </c>
      <c r="D7" s="23" t="n">
        <f aca="false">(Assumptions!$B$40+Assumptions!$B$41*$A7^2)*Assumptions!$B$44</f>
        <v>2380</v>
      </c>
      <c r="E7" s="23" t="n">
        <f aca="false">(Assumptions!$B$40+Assumptions!$B$41*$A7^2)*Assumptions!$B$45</f>
        <v>2023</v>
      </c>
      <c r="F7" s="23" t="n">
        <f aca="false">(Assumptions!$B$40+Assumptions!$B$41*$A7^2)*Assumptions!$B$46</f>
        <v>1547</v>
      </c>
      <c r="G7" s="23" t="n">
        <f aca="false">(Assumptions!$B$40+Assumptions!$B$41*$A7^2)*Assumptions!$B$47</f>
        <v>1071</v>
      </c>
    </row>
    <row r="8" customFormat="false" ht="15" hidden="false" customHeight="false" outlineLevel="0" collapsed="false">
      <c r="A8" s="25" t="n">
        <v>35</v>
      </c>
      <c r="B8" s="28" t="n">
        <f aca="false">(Assumptions!$B$40+Assumptions!$B$41*$A8^2)*Assumptions!$B$42</f>
        <v>3559.25</v>
      </c>
      <c r="C8" s="28" t="n">
        <f aca="false">(Assumptions!$B$40+Assumptions!$B$41*$A8^2)*Assumptions!$B$43</f>
        <v>3404.5</v>
      </c>
      <c r="D8" s="28" t="n">
        <f aca="false">(Assumptions!$B$40+Assumptions!$B$41*$A8^2)*Assumptions!$B$44</f>
        <v>3095</v>
      </c>
      <c r="E8" s="28" t="n">
        <f aca="false">(Assumptions!$B$40+Assumptions!$B$41*$A8^2)*Assumptions!$B$45</f>
        <v>2630.75</v>
      </c>
      <c r="F8" s="28" t="n">
        <f aca="false">(Assumptions!$B$40+Assumptions!$B$41*$A8^2)*Assumptions!$B$46</f>
        <v>2011.75</v>
      </c>
      <c r="G8" s="28" t="n">
        <f aca="false">(Assumptions!$B$40+Assumptions!$B$41*$A8^2)*Assumptions!$B$47</f>
        <v>1392.75</v>
      </c>
    </row>
    <row r="9" customFormat="false" ht="15" hidden="false" customHeight="false" outlineLevel="0" collapsed="false">
      <c r="A9" s="20" t="n">
        <v>40</v>
      </c>
      <c r="B9" s="23" t="n">
        <f aca="false">(Assumptions!$B$40+Assumptions!$B$41*$A9^2)*Assumptions!$B$42</f>
        <v>4508</v>
      </c>
      <c r="C9" s="23" t="n">
        <f aca="false">(Assumptions!$B$40+Assumptions!$B$41*$A9^2)*Assumptions!$B$43</f>
        <v>4312</v>
      </c>
      <c r="D9" s="23" t="n">
        <f aca="false">(Assumptions!$B$40+Assumptions!$B$41*$A9^2)*Assumptions!$B$44</f>
        <v>3920</v>
      </c>
      <c r="E9" s="23" t="n">
        <f aca="false">(Assumptions!$B$40+Assumptions!$B$41*$A9^2)*Assumptions!$B$45</f>
        <v>3332</v>
      </c>
      <c r="F9" s="23" t="n">
        <f aca="false">(Assumptions!$B$40+Assumptions!$B$41*$A9^2)*Assumptions!$B$46</f>
        <v>2548</v>
      </c>
      <c r="G9" s="23" t="n">
        <f aca="false">(Assumptions!$B$40+Assumptions!$B$41*$A9^2)*Assumptions!$B$47</f>
        <v>1764</v>
      </c>
    </row>
    <row r="10" customFormat="false" ht="15" hidden="false" customHeight="false" outlineLevel="0" collapsed="false">
      <c r="A10" s="25" t="n">
        <v>45</v>
      </c>
      <c r="B10" s="28" t="n">
        <f aca="false">(Assumptions!$B$40+Assumptions!$B$41*$A10^2)*Assumptions!$B$42</f>
        <v>5583.25</v>
      </c>
      <c r="C10" s="28" t="n">
        <f aca="false">(Assumptions!$B$40+Assumptions!$B$41*$A10^2)*Assumptions!$B$43</f>
        <v>5340.5</v>
      </c>
      <c r="D10" s="28" t="n">
        <f aca="false">(Assumptions!$B$40+Assumptions!$B$41*$A10^2)*Assumptions!$B$44</f>
        <v>4855</v>
      </c>
      <c r="E10" s="28" t="n">
        <f aca="false">(Assumptions!$B$40+Assumptions!$B$41*$A10^2)*Assumptions!$B$45</f>
        <v>4126.75</v>
      </c>
      <c r="F10" s="28" t="n">
        <f aca="false">(Assumptions!$B$40+Assumptions!$B$41*$A10^2)*Assumptions!$B$46</f>
        <v>3155.75</v>
      </c>
      <c r="G10" s="28" t="n">
        <f aca="false">(Assumptions!$B$40+Assumptions!$B$41*$A10^2)*Assumptions!$B$47</f>
        <v>2184.75</v>
      </c>
    </row>
    <row r="11" customFormat="false" ht="15" hidden="false" customHeight="false" outlineLevel="0" collapsed="false">
      <c r="A11" s="20" t="n">
        <v>50</v>
      </c>
      <c r="B11" s="23" t="n">
        <f aca="false">(Assumptions!$B$40+Assumptions!$B$41*$A11^2)*Assumptions!$B$42</f>
        <v>6785</v>
      </c>
      <c r="C11" s="23" t="n">
        <f aca="false">(Assumptions!$B$40+Assumptions!$B$41*$A11^2)*Assumptions!$B$43</f>
        <v>6490</v>
      </c>
      <c r="D11" s="23" t="n">
        <f aca="false">(Assumptions!$B$40+Assumptions!$B$41*$A11^2)*Assumptions!$B$44</f>
        <v>5900</v>
      </c>
      <c r="E11" s="23" t="n">
        <f aca="false">(Assumptions!$B$40+Assumptions!$B$41*$A11^2)*Assumptions!$B$45</f>
        <v>5015</v>
      </c>
      <c r="F11" s="23" t="n">
        <f aca="false">(Assumptions!$B$40+Assumptions!$B$41*$A11^2)*Assumptions!$B$46</f>
        <v>3835</v>
      </c>
      <c r="G11" s="23" t="n">
        <f aca="false">(Assumptions!$B$40+Assumptions!$B$41*$A11^2)*Assumptions!$B$47</f>
        <v>2655</v>
      </c>
    </row>
    <row r="12" customFormat="false" ht="15" hidden="false" customHeight="false" outlineLevel="0" collapsed="false">
      <c r="A12" s="25" t="n">
        <v>55</v>
      </c>
      <c r="B12" s="28" t="n">
        <f aca="false">(Assumptions!$B$40+Assumptions!$B$41*$A12^2)*Assumptions!$B$42</f>
        <v>8113.25</v>
      </c>
      <c r="C12" s="28" t="n">
        <f aca="false">(Assumptions!$B$40+Assumptions!$B$41*$A12^2)*Assumptions!$B$43</f>
        <v>7760.5</v>
      </c>
      <c r="D12" s="28" t="n">
        <f aca="false">(Assumptions!$B$40+Assumptions!$B$41*$A12^2)*Assumptions!$B$44</f>
        <v>7055</v>
      </c>
      <c r="E12" s="28" t="n">
        <f aca="false">(Assumptions!$B$40+Assumptions!$B$41*$A12^2)*Assumptions!$B$45</f>
        <v>5996.75</v>
      </c>
      <c r="F12" s="28" t="n">
        <f aca="false">(Assumptions!$B$40+Assumptions!$B$41*$A12^2)*Assumptions!$B$46</f>
        <v>4585.75</v>
      </c>
      <c r="G12" s="28" t="n">
        <f aca="false">(Assumptions!$B$40+Assumptions!$B$41*$A12^2)*Assumptions!$B$47</f>
        <v>3174.75</v>
      </c>
    </row>
    <row r="13" customFormat="false" ht="15" hidden="false" customHeight="false" outlineLevel="0" collapsed="false">
      <c r="A13" s="20" t="n">
        <v>60</v>
      </c>
      <c r="B13" s="23" t="n">
        <f aca="false">(Assumptions!$B$40+Assumptions!$B$41*$A13^2)*Assumptions!$B$42</f>
        <v>9568</v>
      </c>
      <c r="C13" s="23" t="n">
        <f aca="false">(Assumptions!$B$40+Assumptions!$B$41*$A13^2)*Assumptions!$B$43</f>
        <v>9152</v>
      </c>
      <c r="D13" s="23" t="n">
        <f aca="false">(Assumptions!$B$40+Assumptions!$B$41*$A13^2)*Assumptions!$B$44</f>
        <v>8320</v>
      </c>
      <c r="E13" s="23" t="n">
        <f aca="false">(Assumptions!$B$40+Assumptions!$B$41*$A13^2)*Assumptions!$B$45</f>
        <v>7072</v>
      </c>
      <c r="F13" s="23" t="n">
        <f aca="false">(Assumptions!$B$40+Assumptions!$B$41*$A13^2)*Assumptions!$B$46</f>
        <v>5408</v>
      </c>
      <c r="G13" s="23" t="n">
        <f aca="false">(Assumptions!$B$40+Assumptions!$B$41*$A13^2)*Assumptions!$B$47</f>
        <v>3744</v>
      </c>
    </row>
    <row r="14" customFormat="false" ht="15" hidden="false" customHeight="false" outlineLevel="0" collapsed="false">
      <c r="A14" s="25" t="n">
        <v>65</v>
      </c>
      <c r="B14" s="28" t="n">
        <f aca="false">(Assumptions!$B$40+Assumptions!$B$41*$A14^2)*Assumptions!$B$42</f>
        <v>11149.25</v>
      </c>
      <c r="C14" s="28" t="n">
        <f aca="false">(Assumptions!$B$40+Assumptions!$B$41*$A14^2)*Assumptions!$B$43</f>
        <v>10664.5</v>
      </c>
      <c r="D14" s="28" t="n">
        <f aca="false">(Assumptions!$B$40+Assumptions!$B$41*$A14^2)*Assumptions!$B$44</f>
        <v>9695</v>
      </c>
      <c r="E14" s="28" t="n">
        <f aca="false">(Assumptions!$B$40+Assumptions!$B$41*$A14^2)*Assumptions!$B$45</f>
        <v>8240.75</v>
      </c>
      <c r="F14" s="28" t="n">
        <f aca="false">(Assumptions!$B$40+Assumptions!$B$41*$A14^2)*Assumptions!$B$46</f>
        <v>6301.75</v>
      </c>
      <c r="G14" s="28" t="n">
        <f aca="false">(Assumptions!$B$40+Assumptions!$B$41*$A14^2)*Assumptions!$B$47</f>
        <v>4362.75</v>
      </c>
    </row>
    <row r="15" customFormat="false" ht="15" hidden="false" customHeight="false" outlineLevel="0" collapsed="false">
      <c r="A15" s="20" t="n">
        <v>70</v>
      </c>
      <c r="B15" s="23" t="n">
        <f aca="false">(Assumptions!$B$40+Assumptions!$B$41*$A15^2)*Assumptions!$B$42</f>
        <v>12857</v>
      </c>
      <c r="C15" s="23" t="n">
        <f aca="false">(Assumptions!$B$40+Assumptions!$B$41*$A15^2)*Assumptions!$B$43</f>
        <v>12298</v>
      </c>
      <c r="D15" s="23" t="n">
        <f aca="false">(Assumptions!$B$40+Assumptions!$B$41*$A15^2)*Assumptions!$B$44</f>
        <v>11180</v>
      </c>
      <c r="E15" s="23" t="n">
        <f aca="false">(Assumptions!$B$40+Assumptions!$B$41*$A15^2)*Assumptions!$B$45</f>
        <v>9503</v>
      </c>
      <c r="F15" s="23" t="n">
        <f aca="false">(Assumptions!$B$40+Assumptions!$B$41*$A15^2)*Assumptions!$B$46</f>
        <v>7267</v>
      </c>
      <c r="G15" s="23" t="n">
        <f aca="false">(Assumptions!$B$40+Assumptions!$B$41*$A15^2)*Assumptions!$B$47</f>
        <v>5031</v>
      </c>
    </row>
    <row r="16" customFormat="false" ht="15" hidden="false" customHeight="false" outlineLevel="0" collapsed="false">
      <c r="A16" s="25" t="n">
        <v>75</v>
      </c>
      <c r="B16" s="28" t="n">
        <f aca="false">(Assumptions!$B$40+Assumptions!$B$41*$A16^2)*Assumptions!$B$42</f>
        <v>14691.25</v>
      </c>
      <c r="C16" s="28" t="n">
        <f aca="false">(Assumptions!$B$40+Assumptions!$B$41*$A16^2)*Assumptions!$B$43</f>
        <v>14052.5</v>
      </c>
      <c r="D16" s="28" t="n">
        <f aca="false">(Assumptions!$B$40+Assumptions!$B$41*$A16^2)*Assumptions!$B$44</f>
        <v>12775</v>
      </c>
      <c r="E16" s="28" t="n">
        <f aca="false">(Assumptions!$B$40+Assumptions!$B$41*$A16^2)*Assumptions!$B$45</f>
        <v>10858.75</v>
      </c>
      <c r="F16" s="28" t="n">
        <f aca="false">(Assumptions!$B$40+Assumptions!$B$41*$A16^2)*Assumptions!$B$46</f>
        <v>8303.75</v>
      </c>
      <c r="G16" s="28" t="n">
        <f aca="false">(Assumptions!$B$40+Assumptions!$B$41*$A16^2)*Assumptions!$B$47</f>
        <v>5748.75</v>
      </c>
    </row>
    <row r="17" customFormat="false" ht="15" hidden="false" customHeight="false" outlineLevel="0" collapsed="false">
      <c r="A17" s="20" t="n">
        <v>80</v>
      </c>
      <c r="B17" s="23" t="n">
        <f aca="false">(Assumptions!$B$40+Assumptions!$B$41*$A17^2)*Assumptions!$B$42</f>
        <v>16652</v>
      </c>
      <c r="C17" s="23" t="n">
        <f aca="false">(Assumptions!$B$40+Assumptions!$B$41*$A17^2)*Assumptions!$B$43</f>
        <v>15928</v>
      </c>
      <c r="D17" s="23" t="n">
        <f aca="false">(Assumptions!$B$40+Assumptions!$B$41*$A17^2)*Assumptions!$B$44</f>
        <v>14480</v>
      </c>
      <c r="E17" s="23" t="n">
        <f aca="false">(Assumptions!$B$40+Assumptions!$B$41*$A17^2)*Assumptions!$B$45</f>
        <v>12308</v>
      </c>
      <c r="F17" s="23" t="n">
        <f aca="false">(Assumptions!$B$40+Assumptions!$B$41*$A17^2)*Assumptions!$B$46</f>
        <v>9412</v>
      </c>
      <c r="G17" s="23" t="n">
        <f aca="false">(Assumptions!$B$40+Assumptions!$B$41*$A17^2)*Assumptions!$B$47</f>
        <v>6516</v>
      </c>
    </row>
    <row r="18" customFormat="false" ht="15" hidden="false" customHeight="false" outlineLevel="0" collapsed="false">
      <c r="A18" s="25" t="n">
        <v>85</v>
      </c>
      <c r="B18" s="28" t="n">
        <f aca="false">(Assumptions!$B$40+Assumptions!$B$41*$A18^2)*Assumptions!$B$42</f>
        <v>18739.25</v>
      </c>
      <c r="C18" s="28" t="n">
        <f aca="false">(Assumptions!$B$40+Assumptions!$B$41*$A18^2)*Assumptions!$B$43</f>
        <v>17924.5</v>
      </c>
      <c r="D18" s="28" t="n">
        <f aca="false">(Assumptions!$B$40+Assumptions!$B$41*$A18^2)*Assumptions!$B$44</f>
        <v>16295</v>
      </c>
      <c r="E18" s="28" t="n">
        <f aca="false">(Assumptions!$B$40+Assumptions!$B$41*$A18^2)*Assumptions!$B$45</f>
        <v>13850.75</v>
      </c>
      <c r="F18" s="28" t="n">
        <f aca="false">(Assumptions!$B$40+Assumptions!$B$41*$A18^2)*Assumptions!$B$46</f>
        <v>10591.75</v>
      </c>
      <c r="G18" s="28" t="n">
        <f aca="false">(Assumptions!$B$40+Assumptions!$B$41*$A18^2)*Assumptions!$B$47</f>
        <v>7332.75</v>
      </c>
    </row>
    <row r="19" customFormat="false" ht="15" hidden="false" customHeight="false" outlineLevel="0" collapsed="false">
      <c r="A19" s="20" t="n">
        <v>90</v>
      </c>
      <c r="B19" s="23" t="n">
        <f aca="false">(Assumptions!$B$40+Assumptions!$B$41*$A19^2)*Assumptions!$B$42</f>
        <v>20953</v>
      </c>
      <c r="C19" s="23" t="n">
        <f aca="false">(Assumptions!$B$40+Assumptions!$B$41*$A19^2)*Assumptions!$B$43</f>
        <v>20042</v>
      </c>
      <c r="D19" s="23" t="n">
        <f aca="false">(Assumptions!$B$40+Assumptions!$B$41*$A19^2)*Assumptions!$B$44</f>
        <v>18220</v>
      </c>
      <c r="E19" s="23" t="n">
        <f aca="false">(Assumptions!$B$40+Assumptions!$B$41*$A19^2)*Assumptions!$B$45</f>
        <v>15487</v>
      </c>
      <c r="F19" s="23" t="n">
        <f aca="false">(Assumptions!$B$40+Assumptions!$B$41*$A19^2)*Assumptions!$B$46</f>
        <v>11843</v>
      </c>
      <c r="G19" s="23" t="n">
        <f aca="false">(Assumptions!$B$40+Assumptions!$B$41*$A19^2)*Assumptions!$B$47</f>
        <v>8199</v>
      </c>
    </row>
    <row r="20" customFormat="false" ht="15" hidden="false" customHeight="false" outlineLevel="0" collapsed="false">
      <c r="A20" s="25" t="n">
        <v>95</v>
      </c>
      <c r="B20" s="28" t="n">
        <f aca="false">(Assumptions!$B$40+Assumptions!$B$41*$A20^2)*Assumptions!$B$42</f>
        <v>23293.25</v>
      </c>
      <c r="C20" s="28" t="n">
        <f aca="false">(Assumptions!$B$40+Assumptions!$B$41*$A20^2)*Assumptions!$B$43</f>
        <v>22280.5</v>
      </c>
      <c r="D20" s="28" t="n">
        <f aca="false">(Assumptions!$B$40+Assumptions!$B$41*$A20^2)*Assumptions!$B$44</f>
        <v>20255</v>
      </c>
      <c r="E20" s="28" t="n">
        <f aca="false">(Assumptions!$B$40+Assumptions!$B$41*$A20^2)*Assumptions!$B$45</f>
        <v>17216.75</v>
      </c>
      <c r="F20" s="28" t="n">
        <f aca="false">(Assumptions!$B$40+Assumptions!$B$41*$A20^2)*Assumptions!$B$46</f>
        <v>13165.75</v>
      </c>
      <c r="G20" s="28" t="n">
        <f aca="false">(Assumptions!$B$40+Assumptions!$B$41*$A20^2)*Assumptions!$B$47</f>
        <v>9114.75</v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</row>
    <row r="22" customFormat="false" ht="15" hidden="false" customHeight="false" outlineLevel="0" collapsed="false">
      <c r="A22" s="3" t="s">
        <v>127</v>
      </c>
      <c r="B22" s="6"/>
      <c r="C22" s="6"/>
      <c r="D22" s="6"/>
      <c r="E22" s="6"/>
      <c r="F22" s="6"/>
      <c r="G22" s="6"/>
    </row>
    <row r="23" customFormat="false" ht="15" hidden="false" customHeight="false" outlineLevel="0" collapsed="false">
      <c r="A23" s="6" t="s">
        <v>128</v>
      </c>
      <c r="B23" s="33" t="n">
        <f aca="false">Assumptions!$B$36*(Assumptions!$B$40+Assumptions!$B$41*Assumptions!$B$37^2)*Assumptions!$B$44</f>
        <v>13403.4</v>
      </c>
      <c r="C23" s="6"/>
      <c r="D23" s="6"/>
      <c r="E23" s="6"/>
      <c r="F23" s="6"/>
      <c r="G23" s="6"/>
    </row>
    <row r="24" customFormat="false" ht="15" hidden="false" customHeight="false" outlineLevel="0" collapsed="false">
      <c r="A24" s="6" t="s">
        <v>129</v>
      </c>
      <c r="B24" s="34" t="n">
        <f aca="false">Assumptions!$B$35</f>
        <v>6000</v>
      </c>
      <c r="C24" s="6"/>
      <c r="D24" s="6"/>
      <c r="E24" s="6"/>
      <c r="F24" s="6"/>
      <c r="G24" s="6"/>
    </row>
    <row r="25" customFormat="false" ht="15" hidden="false" customHeight="false" outlineLevel="0" collapsed="false">
      <c r="A25" s="6" t="s">
        <v>130</v>
      </c>
      <c r="B25" s="34" t="n">
        <f aca="false">Assumptions!$B$38</f>
        <v>3000</v>
      </c>
      <c r="C25" s="6"/>
      <c r="D25" s="6"/>
      <c r="E25" s="6"/>
      <c r="F25" s="6"/>
      <c r="G25" s="6"/>
    </row>
    <row r="26" customFormat="false" ht="15" hidden="false" customHeight="false" outlineLevel="0" collapsed="false">
      <c r="A26" s="3" t="s">
        <v>131</v>
      </c>
      <c r="B26" s="30" t="n">
        <f aca="false">SUM(B23:B25)</f>
        <v>22403.4</v>
      </c>
      <c r="C26" s="6"/>
      <c r="D26" s="6"/>
      <c r="E26" s="6"/>
      <c r="F26" s="6"/>
      <c r="G2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14" min="2" style="0" width="11"/>
    <col collapsed="false" customWidth="true" hidden="false" outlineLevel="0" max="15" min="15" style="0" width="13"/>
  </cols>
  <sheetData>
    <row r="1" customFormat="false" ht="17.35" hidden="false" customHeight="false" outlineLevel="0" collapsed="false">
      <c r="A1" s="1" t="s">
        <v>132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customFormat="false" ht="15" hidden="false" customHeight="false" outlineLevel="0" collapsed="false">
      <c r="A2" s="8" t="s">
        <v>133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customFormat="false" ht="17.35" hidden="false" customHeight="false" outlineLevel="0" collapsed="false">
      <c r="A4" s="1" t="s">
        <v>97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customFormat="false" ht="15" hidden="false" customHeight="false" outlineLevel="0" collapsed="false">
      <c r="A5" s="19" t="s">
        <v>134</v>
      </c>
      <c r="B5" s="19" t="s">
        <v>135</v>
      </c>
      <c r="C5" s="19" t="s">
        <v>136</v>
      </c>
      <c r="D5" s="19" t="s">
        <v>137</v>
      </c>
      <c r="E5" s="19" t="s">
        <v>138</v>
      </c>
      <c r="F5" s="19" t="s">
        <v>139</v>
      </c>
      <c r="G5" s="19" t="s">
        <v>140</v>
      </c>
      <c r="H5" s="19" t="s">
        <v>141</v>
      </c>
      <c r="I5" s="19" t="s">
        <v>142</v>
      </c>
      <c r="J5" s="19" t="s">
        <v>143</v>
      </c>
      <c r="K5" s="19" t="s">
        <v>144</v>
      </c>
      <c r="L5" s="19" t="s">
        <v>145</v>
      </c>
      <c r="M5" s="19" t="s">
        <v>146</v>
      </c>
      <c r="N5" s="19" t="s">
        <v>147</v>
      </c>
      <c r="O5" s="19" t="s">
        <v>148</v>
      </c>
    </row>
    <row r="6" customFormat="false" ht="15" hidden="false" customHeight="false" outlineLevel="0" collapsed="false">
      <c r="A6" s="2" t="s">
        <v>149</v>
      </c>
      <c r="B6" s="35" t="n">
        <f aca="false">Assumptions!$B$36</f>
        <v>3</v>
      </c>
      <c r="C6" s="35" t="n">
        <f aca="false">Assumptions!$B$36</f>
        <v>3</v>
      </c>
      <c r="D6" s="35" t="n">
        <f aca="false">Assumptions!$B$36</f>
        <v>3</v>
      </c>
      <c r="E6" s="35" t="n">
        <f aca="false">Assumptions!$B$36</f>
        <v>3</v>
      </c>
      <c r="F6" s="35" t="n">
        <f aca="false">Assumptions!$B$36</f>
        <v>3</v>
      </c>
      <c r="G6" s="35" t="n">
        <f aca="false">Assumptions!$B$36</f>
        <v>3</v>
      </c>
      <c r="H6" s="35" t="n">
        <f aca="false">Assumptions!$B$36</f>
        <v>3</v>
      </c>
      <c r="I6" s="35" t="n">
        <f aca="false">Assumptions!$B$36</f>
        <v>3</v>
      </c>
      <c r="J6" s="35" t="n">
        <f aca="false">Assumptions!$B$36</f>
        <v>3</v>
      </c>
      <c r="K6" s="35" t="n">
        <f aca="false">Assumptions!$B$36</f>
        <v>3</v>
      </c>
      <c r="L6" s="35" t="n">
        <f aca="false">Assumptions!$B$36</f>
        <v>3</v>
      </c>
      <c r="M6" s="35" t="n">
        <f aca="false">Assumptions!$B$36</f>
        <v>3</v>
      </c>
      <c r="N6" s="35" t="n">
        <f aca="false">Assumptions!$B$36</f>
        <v>3</v>
      </c>
      <c r="O6" s="6"/>
    </row>
    <row r="7" customFormat="false" ht="15" hidden="false" customHeight="false" outlineLevel="0" collapsed="false">
      <c r="A7" s="2" t="s">
        <v>150</v>
      </c>
      <c r="B7" s="9" t="n">
        <v>0</v>
      </c>
      <c r="C7" s="9" t="n">
        <v>0</v>
      </c>
      <c r="D7" s="9" t="n">
        <v>0</v>
      </c>
      <c r="E7" s="9" t="n">
        <v>0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0</v>
      </c>
      <c r="K7" s="9" t="n">
        <v>0</v>
      </c>
      <c r="L7" s="9" t="n">
        <v>0</v>
      </c>
      <c r="M7" s="9" t="n">
        <v>0</v>
      </c>
      <c r="N7" s="9" t="n">
        <v>0</v>
      </c>
      <c r="O7" s="6"/>
    </row>
    <row r="8" customFormat="false" ht="15" hidden="false" customHeight="false" outlineLevel="0" collapsed="false">
      <c r="A8" s="2" t="s">
        <v>151</v>
      </c>
      <c r="B8" s="35" t="n">
        <f aca="false">Assumptions!$B$32</f>
        <v>20</v>
      </c>
      <c r="C8" s="35" t="n">
        <f aca="false">Assumptions!$B$32</f>
        <v>20</v>
      </c>
      <c r="D8" s="35" t="n">
        <f aca="false">Assumptions!$B$32</f>
        <v>20</v>
      </c>
      <c r="E8" s="35" t="n">
        <f aca="false">Assumptions!$B$32</f>
        <v>20</v>
      </c>
      <c r="F8" s="35" t="n">
        <f aca="false">Assumptions!$B$32</f>
        <v>20</v>
      </c>
      <c r="G8" s="35" t="n">
        <f aca="false">Assumptions!$B$32</f>
        <v>20</v>
      </c>
      <c r="H8" s="35" t="n">
        <f aca="false">Assumptions!$B$32</f>
        <v>20</v>
      </c>
      <c r="I8" s="35" t="n">
        <f aca="false">Assumptions!$B$32</f>
        <v>20</v>
      </c>
      <c r="J8" s="35" t="n">
        <f aca="false">Assumptions!$B$32</f>
        <v>20</v>
      </c>
      <c r="K8" s="35" t="n">
        <f aca="false">Assumptions!$B$32</f>
        <v>20</v>
      </c>
      <c r="L8" s="35" t="n">
        <f aca="false">Assumptions!$B$32</f>
        <v>20</v>
      </c>
      <c r="M8" s="35" t="n">
        <f aca="false">Assumptions!$B$32</f>
        <v>20</v>
      </c>
      <c r="N8" s="35" t="n">
        <f aca="false">Assumptions!$B$32</f>
        <v>20</v>
      </c>
      <c r="O8" s="6"/>
    </row>
    <row r="9" customFormat="false" ht="15" hidden="false" customHeight="false" outlineLevel="0" collapsed="false">
      <c r="A9" s="2" t="s">
        <v>152</v>
      </c>
      <c r="B9" s="23" t="n">
        <f aca="false">Assumptions!$B$54*SUM('Purse Schedule'!$D$4:$F$4)</f>
        <v>525</v>
      </c>
      <c r="C9" s="23" t="n">
        <f aca="false">Assumptions!$B$54*SUM('Purse Schedule'!$D$5:$F$5)</f>
        <v>525</v>
      </c>
      <c r="D9" s="23" t="n">
        <f aca="false">Assumptions!$B$54*SUM('Purse Schedule'!$D$6:$F$6)</f>
        <v>525</v>
      </c>
      <c r="E9" s="23" t="n">
        <f aca="false">Assumptions!$B$54*SUM('Purse Schedule'!$D$7:$F$7)</f>
        <v>1312.5</v>
      </c>
      <c r="F9" s="23" t="n">
        <f aca="false">Assumptions!$B$54*SUM('Purse Schedule'!$D$8:$F$8)</f>
        <v>525</v>
      </c>
      <c r="G9" s="23" t="n">
        <f aca="false">Assumptions!$B$54*SUM('Purse Schedule'!$D$9:$F$9)</f>
        <v>525</v>
      </c>
      <c r="H9" s="23" t="n">
        <f aca="false">Assumptions!$B$54*SUM('Purse Schedule'!$D$10:$F$10)</f>
        <v>1312.5</v>
      </c>
      <c r="I9" s="23" t="n">
        <f aca="false">Assumptions!$B$54*SUM('Purse Schedule'!$D$11:$F$11)</f>
        <v>525</v>
      </c>
      <c r="J9" s="23" t="n">
        <f aca="false">Assumptions!$B$54*SUM('Purse Schedule'!$D$12:$F$12)</f>
        <v>525</v>
      </c>
      <c r="K9" s="23" t="n">
        <f aca="false">Assumptions!$B$54*SUM('Purse Schedule'!$D$13:$F$13)</f>
        <v>1312.5</v>
      </c>
      <c r="L9" s="23" t="n">
        <f aca="false">Assumptions!$B$54*SUM('Purse Schedule'!$D$14:$F$14)</f>
        <v>525</v>
      </c>
      <c r="M9" s="23" t="n">
        <f aca="false">Assumptions!$B$54*SUM('Purse Schedule'!$D$15:$F$15)</f>
        <v>525</v>
      </c>
      <c r="N9" s="23" t="n">
        <f aca="false">Assumptions!$B$54*SUM('Purse Schedule'!$D$16:$F$16)</f>
        <v>2100</v>
      </c>
      <c r="O9" s="36" t="n">
        <f aca="false">SUM(B9:N9)</f>
        <v>10762.5</v>
      </c>
    </row>
    <row r="10" customFormat="false" ht="15" hidden="false" customHeight="false" outlineLevel="0" collapsed="false">
      <c r="A10" s="2" t="s">
        <v>153</v>
      </c>
      <c r="B10" s="23" t="n">
        <f aca="false">Assumptions!$C$54*SUM('Purse Schedule'!$G$4:$I$4)</f>
        <v>652.5</v>
      </c>
      <c r="C10" s="23" t="n">
        <f aca="false">Assumptions!$C$54*SUM('Purse Schedule'!$G$5:$I$5)</f>
        <v>652.5</v>
      </c>
      <c r="D10" s="23" t="n">
        <f aca="false">Assumptions!$C$54*SUM('Purse Schedule'!$G$6:$I$6)</f>
        <v>652.5</v>
      </c>
      <c r="E10" s="23" t="n">
        <f aca="false">Assumptions!$C$54*SUM('Purse Schedule'!$G$7:$I$7)</f>
        <v>1631.25</v>
      </c>
      <c r="F10" s="23" t="n">
        <f aca="false">Assumptions!$C$54*SUM('Purse Schedule'!$G$8:$I$8)</f>
        <v>652.5</v>
      </c>
      <c r="G10" s="23" t="n">
        <f aca="false">Assumptions!$C$54*SUM('Purse Schedule'!$G$9:$I$9)</f>
        <v>652.5</v>
      </c>
      <c r="H10" s="23" t="n">
        <f aca="false">Assumptions!$C$54*SUM('Purse Schedule'!$G$10:$I$10)</f>
        <v>1631.25</v>
      </c>
      <c r="I10" s="23" t="n">
        <f aca="false">Assumptions!$C$54*SUM('Purse Schedule'!$G$11:$I$11)</f>
        <v>652.5</v>
      </c>
      <c r="J10" s="23" t="n">
        <f aca="false">Assumptions!$C$54*SUM('Purse Schedule'!$G$12:$I$12)</f>
        <v>652.5</v>
      </c>
      <c r="K10" s="23" t="n">
        <f aca="false">Assumptions!$C$54*SUM('Purse Schedule'!$G$13:$I$13)</f>
        <v>1631.25</v>
      </c>
      <c r="L10" s="23" t="n">
        <f aca="false">Assumptions!$C$54*SUM('Purse Schedule'!$G$14:$I$14)</f>
        <v>652.5</v>
      </c>
      <c r="M10" s="23" t="n">
        <f aca="false">Assumptions!$C$54*SUM('Purse Schedule'!$G$15:$I$15)</f>
        <v>652.5</v>
      </c>
      <c r="N10" s="23" t="n">
        <f aca="false">Assumptions!$C$54*SUM('Purse Schedule'!$G$16:$I$16)</f>
        <v>2610</v>
      </c>
      <c r="O10" s="36" t="n">
        <f aca="false">SUM(B10:N10)</f>
        <v>13376.25</v>
      </c>
    </row>
    <row r="11" customFormat="false" ht="15" hidden="false" customHeight="false" outlineLevel="0" collapsed="false">
      <c r="A11" s="2" t="s">
        <v>154</v>
      </c>
      <c r="B11" s="23" t="n">
        <f aca="false">Assumptions!$D$54*SUM('Purse Schedule'!$J$4:$L$4)</f>
        <v>525</v>
      </c>
      <c r="C11" s="23" t="n">
        <f aca="false">Assumptions!$D$54*SUM('Purse Schedule'!$J$5:$L$5)</f>
        <v>525</v>
      </c>
      <c r="D11" s="23" t="n">
        <f aca="false">Assumptions!$D$54*SUM('Purse Schedule'!$J$6:$L$6)</f>
        <v>525</v>
      </c>
      <c r="E11" s="23" t="n">
        <f aca="false">Assumptions!$D$54*SUM('Purse Schedule'!$J$7:$L$7)</f>
        <v>1312.5</v>
      </c>
      <c r="F11" s="23" t="n">
        <f aca="false">Assumptions!$D$54*SUM('Purse Schedule'!$J$8:$L$8)</f>
        <v>525</v>
      </c>
      <c r="G11" s="23" t="n">
        <f aca="false">Assumptions!$D$54*SUM('Purse Schedule'!$J$9:$L$9)</f>
        <v>525</v>
      </c>
      <c r="H11" s="23" t="n">
        <f aca="false">Assumptions!$D$54*SUM('Purse Schedule'!$J$10:$L$10)</f>
        <v>1312.5</v>
      </c>
      <c r="I11" s="23" t="n">
        <f aca="false">Assumptions!$D$54*SUM('Purse Schedule'!$J$11:$L$11)</f>
        <v>525</v>
      </c>
      <c r="J11" s="23" t="n">
        <f aca="false">Assumptions!$D$54*SUM('Purse Schedule'!$J$12:$L$12)</f>
        <v>525</v>
      </c>
      <c r="K11" s="23" t="n">
        <f aca="false">Assumptions!$D$54*SUM('Purse Schedule'!$J$13:$L$13)</f>
        <v>1312.5</v>
      </c>
      <c r="L11" s="23" t="n">
        <f aca="false">Assumptions!$D$54*SUM('Purse Schedule'!$J$14:$L$14)</f>
        <v>525</v>
      </c>
      <c r="M11" s="23" t="n">
        <f aca="false">Assumptions!$D$54*SUM('Purse Schedule'!$J$15:$L$15)</f>
        <v>525</v>
      </c>
      <c r="N11" s="23" t="n">
        <f aca="false">Assumptions!$D$54*SUM('Purse Schedule'!$J$16:$L$16)</f>
        <v>2100</v>
      </c>
      <c r="O11" s="36" t="n">
        <f aca="false">SUM(B11:N11)</f>
        <v>10762.5</v>
      </c>
    </row>
    <row r="12" customFormat="false" ht="15" hidden="false" customHeight="false" outlineLevel="0" collapsed="false">
      <c r="A12" s="2" t="s">
        <v>155</v>
      </c>
      <c r="B12" s="23" t="n">
        <f aca="false">(B8-B6*Assumptions!$B$24)*Assumptions!$B$31</f>
        <v>765</v>
      </c>
      <c r="C12" s="23" t="n">
        <f aca="false">(C8-C6*Assumptions!$B$24)*Assumptions!$B$31</f>
        <v>765</v>
      </c>
      <c r="D12" s="23" t="n">
        <f aca="false">(D8-D6*Assumptions!$B$24)*Assumptions!$B$31</f>
        <v>765</v>
      </c>
      <c r="E12" s="23" t="n">
        <f aca="false">(E8-E6*Assumptions!$B$24)*Assumptions!$B$31</f>
        <v>765</v>
      </c>
      <c r="F12" s="23" t="n">
        <f aca="false">(F8-F6*Assumptions!$B$24)*Assumptions!$B$31</f>
        <v>765</v>
      </c>
      <c r="G12" s="23" t="n">
        <f aca="false">(G8-G6*Assumptions!$B$24)*Assumptions!$B$31</f>
        <v>765</v>
      </c>
      <c r="H12" s="23" t="n">
        <f aca="false">(H8-H6*Assumptions!$B$24)*Assumptions!$B$31</f>
        <v>765</v>
      </c>
      <c r="I12" s="23" t="n">
        <f aca="false">(I8-I6*Assumptions!$B$24)*Assumptions!$B$31</f>
        <v>765</v>
      </c>
      <c r="J12" s="23" t="n">
        <f aca="false">(J8-J6*Assumptions!$B$24)*Assumptions!$B$31</f>
        <v>765</v>
      </c>
      <c r="K12" s="23" t="n">
        <f aca="false">(K8-K6*Assumptions!$B$24)*Assumptions!$B$31</f>
        <v>765</v>
      </c>
      <c r="L12" s="23" t="n">
        <f aca="false">(L8-L6*Assumptions!$B$24)*Assumptions!$B$31</f>
        <v>765</v>
      </c>
      <c r="M12" s="23" t="n">
        <f aca="false">(M8-M6*Assumptions!$B$24)*Assumptions!$B$31</f>
        <v>765</v>
      </c>
      <c r="N12" s="23" t="n">
        <f aca="false">(N8-N6*Assumptions!$B$24)*Assumptions!$B$31</f>
        <v>765</v>
      </c>
      <c r="O12" s="36" t="n">
        <f aca="false">SUM(B12:N12)</f>
        <v>9945</v>
      </c>
    </row>
    <row r="13" customFormat="false" ht="15" hidden="false" customHeight="false" outlineLevel="0" collapsed="false">
      <c r="A13" s="3" t="s">
        <v>156</v>
      </c>
      <c r="B13" s="36" t="n">
        <f aca="false">SUM(B9:B12)</f>
        <v>2467.5</v>
      </c>
      <c r="C13" s="36" t="n">
        <f aca="false">SUM(C9:C12)</f>
        <v>2467.5</v>
      </c>
      <c r="D13" s="36" t="n">
        <f aca="false">SUM(D9:D12)</f>
        <v>2467.5</v>
      </c>
      <c r="E13" s="36" t="n">
        <f aca="false">SUM(E9:E12)</f>
        <v>5021.25</v>
      </c>
      <c r="F13" s="36" t="n">
        <f aca="false">SUM(F9:F12)</f>
        <v>2467.5</v>
      </c>
      <c r="G13" s="36" t="n">
        <f aca="false">SUM(G9:G12)</f>
        <v>2467.5</v>
      </c>
      <c r="H13" s="36" t="n">
        <f aca="false">SUM(H9:H12)</f>
        <v>5021.25</v>
      </c>
      <c r="I13" s="36" t="n">
        <f aca="false">SUM(I9:I12)</f>
        <v>2467.5</v>
      </c>
      <c r="J13" s="36" t="n">
        <f aca="false">SUM(J9:J12)</f>
        <v>2467.5</v>
      </c>
      <c r="K13" s="36" t="n">
        <f aca="false">SUM(K9:K12)</f>
        <v>5021.25</v>
      </c>
      <c r="L13" s="36" t="n">
        <f aca="false">SUM(L9:L12)</f>
        <v>2467.5</v>
      </c>
      <c r="M13" s="36" t="n">
        <f aca="false">SUM(M9:M12)</f>
        <v>2467.5</v>
      </c>
      <c r="N13" s="36" t="n">
        <f aca="false">SUM(N9:N12)</f>
        <v>7575</v>
      </c>
      <c r="O13" s="36" t="n">
        <f aca="false">SUM(B13:N13)</f>
        <v>44846.25</v>
      </c>
    </row>
    <row r="14" customFormat="false" ht="15" hidden="false" customHeight="false" outlineLevel="0" collapsed="false">
      <c r="A14" s="2" t="s">
        <v>157</v>
      </c>
      <c r="B14" s="23" t="n">
        <f aca="false">-B6*Assumptions!$B$23</f>
        <v>-450</v>
      </c>
      <c r="C14" s="23" t="n">
        <f aca="false">-C6*Assumptions!$B$23</f>
        <v>-450</v>
      </c>
      <c r="D14" s="23" t="n">
        <f aca="false">-D6*Assumptions!$B$23</f>
        <v>-450</v>
      </c>
      <c r="E14" s="23" t="n">
        <f aca="false">-E6*Assumptions!$B$23</f>
        <v>-450</v>
      </c>
      <c r="F14" s="23" t="n">
        <f aca="false">-F6*Assumptions!$B$23</f>
        <v>-450</v>
      </c>
      <c r="G14" s="23" t="n">
        <f aca="false">-G6*Assumptions!$B$23</f>
        <v>-450</v>
      </c>
      <c r="H14" s="23" t="n">
        <f aca="false">-H6*Assumptions!$B$23</f>
        <v>-450</v>
      </c>
      <c r="I14" s="23" t="n">
        <f aca="false">-I6*Assumptions!$B$23</f>
        <v>-450</v>
      </c>
      <c r="J14" s="23" t="n">
        <f aca="false">-J6*Assumptions!$B$23</f>
        <v>-450</v>
      </c>
      <c r="K14" s="23" t="n">
        <f aca="false">-K6*Assumptions!$B$23</f>
        <v>-450</v>
      </c>
      <c r="L14" s="23" t="n">
        <f aca="false">-L6*Assumptions!$B$23</f>
        <v>-450</v>
      </c>
      <c r="M14" s="23" t="n">
        <f aca="false">-M6*Assumptions!$B$23</f>
        <v>-450</v>
      </c>
      <c r="N14" s="23" t="n">
        <f aca="false">-N6*Assumptions!$B$23</f>
        <v>-450</v>
      </c>
      <c r="O14" s="36" t="n">
        <f aca="false">SUM(B14:N14)</f>
        <v>-5850</v>
      </c>
    </row>
    <row r="15" customFormat="false" ht="15" hidden="false" customHeight="false" outlineLevel="0" collapsed="false">
      <c r="A15" s="2" t="s">
        <v>158</v>
      </c>
      <c r="B15" s="23" t="n">
        <f aca="false">-B6*Assumptions!$B$24*(Assumptions!$B$29+Assumptions!$B$30)/2</f>
        <v>-270</v>
      </c>
      <c r="C15" s="23" t="n">
        <f aca="false">-C6*Assumptions!$B$24*(Assumptions!$B$29+Assumptions!$B$30)/2</f>
        <v>-270</v>
      </c>
      <c r="D15" s="23" t="n">
        <f aca="false">-D6*Assumptions!$B$24*(Assumptions!$B$29+Assumptions!$B$30)/2</f>
        <v>-270</v>
      </c>
      <c r="E15" s="23" t="n">
        <f aca="false">-E6*Assumptions!$B$24*(Assumptions!$B$29+Assumptions!$B$30)/2</f>
        <v>-270</v>
      </c>
      <c r="F15" s="23" t="n">
        <f aca="false">-F6*Assumptions!$B$24*(Assumptions!$B$29+Assumptions!$B$30)/2</f>
        <v>-270</v>
      </c>
      <c r="G15" s="23" t="n">
        <f aca="false">-G6*Assumptions!$B$24*(Assumptions!$B$29+Assumptions!$B$30)/2</f>
        <v>-270</v>
      </c>
      <c r="H15" s="23" t="n">
        <f aca="false">-H6*Assumptions!$B$24*(Assumptions!$B$29+Assumptions!$B$30)/2</f>
        <v>-270</v>
      </c>
      <c r="I15" s="23" t="n">
        <f aca="false">-I6*Assumptions!$B$24*(Assumptions!$B$29+Assumptions!$B$30)/2</f>
        <v>-270</v>
      </c>
      <c r="J15" s="23" t="n">
        <f aca="false">-J6*Assumptions!$B$24*(Assumptions!$B$29+Assumptions!$B$30)/2</f>
        <v>-270</v>
      </c>
      <c r="K15" s="23" t="n">
        <f aca="false">-K6*Assumptions!$B$24*(Assumptions!$B$29+Assumptions!$B$30)/2</f>
        <v>-270</v>
      </c>
      <c r="L15" s="23" t="n">
        <f aca="false">-L6*Assumptions!$B$24*(Assumptions!$B$29+Assumptions!$B$30)/2</f>
        <v>-270</v>
      </c>
      <c r="M15" s="23" t="n">
        <f aca="false">-M6*Assumptions!$B$24*(Assumptions!$B$29+Assumptions!$B$30)/2</f>
        <v>-270</v>
      </c>
      <c r="N15" s="23" t="n">
        <f aca="false">-N6*Assumptions!$B$24*(Assumptions!$B$29+Assumptions!$B$30)/2</f>
        <v>-270</v>
      </c>
      <c r="O15" s="36" t="n">
        <f aca="false">SUM(B15:N15)</f>
        <v>-3510</v>
      </c>
    </row>
    <row r="16" customFormat="false" ht="15" hidden="false" customHeight="false" outlineLevel="0" collapsed="false">
      <c r="A16" s="2" t="s">
        <v>159</v>
      </c>
      <c r="B16" s="23" t="n">
        <f aca="false">-Assumptions!$B$25</f>
        <v>-250</v>
      </c>
      <c r="C16" s="23" t="n">
        <f aca="false">-Assumptions!$B$25</f>
        <v>-250</v>
      </c>
      <c r="D16" s="23" t="n">
        <f aca="false">-Assumptions!$B$25</f>
        <v>-250</v>
      </c>
      <c r="E16" s="23" t="n">
        <f aca="false">-Assumptions!$B$25</f>
        <v>-250</v>
      </c>
      <c r="F16" s="23" t="n">
        <f aca="false">-Assumptions!$B$25</f>
        <v>-250</v>
      </c>
      <c r="G16" s="23" t="n">
        <f aca="false">-Assumptions!$B$25</f>
        <v>-250</v>
      </c>
      <c r="H16" s="23" t="n">
        <f aca="false">-Assumptions!$B$25</f>
        <v>-250</v>
      </c>
      <c r="I16" s="23" t="n">
        <f aca="false">-Assumptions!$B$25</f>
        <v>-250</v>
      </c>
      <c r="J16" s="23" t="n">
        <f aca="false">-Assumptions!$B$25</f>
        <v>-250</v>
      </c>
      <c r="K16" s="23" t="n">
        <f aca="false">-Assumptions!$B$25</f>
        <v>-250</v>
      </c>
      <c r="L16" s="23" t="n">
        <f aca="false">-Assumptions!$B$25</f>
        <v>-250</v>
      </c>
      <c r="M16" s="23" t="n">
        <f aca="false">-Assumptions!$B$25</f>
        <v>-250</v>
      </c>
      <c r="N16" s="23" t="n">
        <f aca="false">-Assumptions!$B$25</f>
        <v>-250</v>
      </c>
      <c r="O16" s="36" t="n">
        <f aca="false">SUM(B16:N16)</f>
        <v>-3250</v>
      </c>
    </row>
    <row r="17" customFormat="false" ht="15" hidden="false" customHeight="false" outlineLevel="0" collapsed="false">
      <c r="A17" s="2" t="s">
        <v>160</v>
      </c>
      <c r="B17" s="23" t="n">
        <f aca="false">-B7*Assumptions!$B$26</f>
        <v>-0</v>
      </c>
      <c r="C17" s="23" t="n">
        <f aca="false">-C7*Assumptions!$B$26</f>
        <v>-0</v>
      </c>
      <c r="D17" s="23" t="n">
        <f aca="false">-D7*Assumptions!$B$26</f>
        <v>-0</v>
      </c>
      <c r="E17" s="23" t="n">
        <f aca="false">-E7*Assumptions!$B$26</f>
        <v>-0</v>
      </c>
      <c r="F17" s="23" t="n">
        <f aca="false">-F7*Assumptions!$B$26</f>
        <v>-0</v>
      </c>
      <c r="G17" s="23" t="n">
        <f aca="false">-G7*Assumptions!$B$26</f>
        <v>-0</v>
      </c>
      <c r="H17" s="23" t="n">
        <f aca="false">-H7*Assumptions!$B$26</f>
        <v>-0</v>
      </c>
      <c r="I17" s="23" t="n">
        <f aca="false">-I7*Assumptions!$B$26</f>
        <v>-0</v>
      </c>
      <c r="J17" s="23" t="n">
        <f aca="false">-J7*Assumptions!$B$26</f>
        <v>-0</v>
      </c>
      <c r="K17" s="23" t="n">
        <f aca="false">-K7*Assumptions!$B$26</f>
        <v>-0</v>
      </c>
      <c r="L17" s="23" t="n">
        <f aca="false">-L7*Assumptions!$B$26</f>
        <v>-0</v>
      </c>
      <c r="M17" s="23" t="n">
        <f aca="false">-M7*Assumptions!$B$26</f>
        <v>-0</v>
      </c>
      <c r="N17" s="23" t="n">
        <f aca="false">-N7*Assumptions!$B$26</f>
        <v>-0</v>
      </c>
      <c r="O17" s="36" t="n">
        <f aca="false">SUM(B17:N17)</f>
        <v>0</v>
      </c>
    </row>
    <row r="18" customFormat="false" ht="15" hidden="false" customHeight="false" outlineLevel="0" collapsed="false">
      <c r="A18" s="3" t="s">
        <v>161</v>
      </c>
      <c r="B18" s="36" t="n">
        <f aca="false">SUM(B14:B17)</f>
        <v>-970</v>
      </c>
      <c r="C18" s="36" t="n">
        <f aca="false">SUM(C14:C17)</f>
        <v>-970</v>
      </c>
      <c r="D18" s="36" t="n">
        <f aca="false">SUM(D14:D17)</f>
        <v>-970</v>
      </c>
      <c r="E18" s="36" t="n">
        <f aca="false">SUM(E14:E17)</f>
        <v>-970</v>
      </c>
      <c r="F18" s="36" t="n">
        <f aca="false">SUM(F14:F17)</f>
        <v>-970</v>
      </c>
      <c r="G18" s="36" t="n">
        <f aca="false">SUM(G14:G17)</f>
        <v>-970</v>
      </c>
      <c r="H18" s="36" t="n">
        <f aca="false">SUM(H14:H17)</f>
        <v>-970</v>
      </c>
      <c r="I18" s="36" t="n">
        <f aca="false">SUM(I14:I17)</f>
        <v>-970</v>
      </c>
      <c r="J18" s="36" t="n">
        <f aca="false">SUM(J14:J17)</f>
        <v>-970</v>
      </c>
      <c r="K18" s="36" t="n">
        <f aca="false">SUM(K14:K17)</f>
        <v>-970</v>
      </c>
      <c r="L18" s="36" t="n">
        <f aca="false">SUM(L14:L17)</f>
        <v>-970</v>
      </c>
      <c r="M18" s="36" t="n">
        <f aca="false">SUM(M14:M17)</f>
        <v>-970</v>
      </c>
      <c r="N18" s="36" t="n">
        <f aca="false">SUM(N14:N17)</f>
        <v>-970</v>
      </c>
      <c r="O18" s="36" t="n">
        <f aca="false">SUM(B18:N18)</f>
        <v>-12610</v>
      </c>
    </row>
    <row r="19" customFormat="false" ht="15" hidden="false" customHeight="false" outlineLevel="0" collapsed="false">
      <c r="A19" s="3" t="s">
        <v>162</v>
      </c>
      <c r="B19" s="36" t="n">
        <f aca="false">B13+B18</f>
        <v>1497.5</v>
      </c>
      <c r="C19" s="36" t="n">
        <f aca="false">C13+C18</f>
        <v>1497.5</v>
      </c>
      <c r="D19" s="36" t="n">
        <f aca="false">D13+D18</f>
        <v>1497.5</v>
      </c>
      <c r="E19" s="36" t="n">
        <f aca="false">E13+E18</f>
        <v>4051.25</v>
      </c>
      <c r="F19" s="36" t="n">
        <f aca="false">F13+F18</f>
        <v>1497.5</v>
      </c>
      <c r="G19" s="36" t="n">
        <f aca="false">G13+G18</f>
        <v>1497.5</v>
      </c>
      <c r="H19" s="36" t="n">
        <f aca="false">H13+H18</f>
        <v>4051.25</v>
      </c>
      <c r="I19" s="36" t="n">
        <f aca="false">I13+I18</f>
        <v>1497.5</v>
      </c>
      <c r="J19" s="36" t="n">
        <f aca="false">J13+J18</f>
        <v>1497.5</v>
      </c>
      <c r="K19" s="36" t="n">
        <f aca="false">K13+K18</f>
        <v>4051.25</v>
      </c>
      <c r="L19" s="36" t="n">
        <f aca="false">L13+L18</f>
        <v>1497.5</v>
      </c>
      <c r="M19" s="36" t="n">
        <f aca="false">M13+M18</f>
        <v>1497.5</v>
      </c>
      <c r="N19" s="36" t="n">
        <f aca="false">N13+N18</f>
        <v>6605</v>
      </c>
      <c r="O19" s="36" t="n">
        <f aca="false">SUM(B19:N19)</f>
        <v>32236.25</v>
      </c>
    </row>
    <row r="20" customFormat="false" ht="15" hidden="false" customHeight="false" outlineLevel="0" collapsed="false">
      <c r="A20" s="3" t="s">
        <v>163</v>
      </c>
      <c r="B20" s="36" t="n">
        <f aca="false">Assumptions!$B$35+B19</f>
        <v>7497.5</v>
      </c>
      <c r="C20" s="36" t="n">
        <f aca="false">B20+C19</f>
        <v>8995</v>
      </c>
      <c r="D20" s="36" t="n">
        <f aca="false">C20+D19</f>
        <v>10492.5</v>
      </c>
      <c r="E20" s="36" t="n">
        <f aca="false">D20+E19</f>
        <v>14543.75</v>
      </c>
      <c r="F20" s="36" t="n">
        <f aca="false">E20+F19</f>
        <v>16041.25</v>
      </c>
      <c r="G20" s="36" t="n">
        <f aca="false">F20+G19</f>
        <v>17538.75</v>
      </c>
      <c r="H20" s="36" t="n">
        <f aca="false">G20+H19</f>
        <v>21590</v>
      </c>
      <c r="I20" s="36" t="n">
        <f aca="false">H20+I19</f>
        <v>23087.5</v>
      </c>
      <c r="J20" s="36" t="n">
        <f aca="false">I20+J19</f>
        <v>24585</v>
      </c>
      <c r="K20" s="36" t="n">
        <f aca="false">J20+K19</f>
        <v>28636.25</v>
      </c>
      <c r="L20" s="36" t="n">
        <f aca="false">K20+L19</f>
        <v>30133.75</v>
      </c>
      <c r="M20" s="36" t="n">
        <f aca="false">L20+M19</f>
        <v>31631.25</v>
      </c>
      <c r="N20" s="36" t="n">
        <f aca="false">M20+N19</f>
        <v>38236.25</v>
      </c>
      <c r="O20" s="36" t="n">
        <f aca="false">N20</f>
        <v>38236.25</v>
      </c>
    </row>
    <row r="21" customFormat="false" ht="15" hidden="false" customHeight="false" outlineLevel="0" collapsed="false">
      <c r="A21" s="2" t="s">
        <v>164</v>
      </c>
      <c r="B21" s="37" t="n">
        <f aca="false">IF(B13=0,0,-B18/B13)</f>
        <v>0.393110435663627</v>
      </c>
      <c r="C21" s="37" t="n">
        <f aca="false">IF(C13=0,0,-C18/C13)</f>
        <v>0.393110435663627</v>
      </c>
      <c r="D21" s="37" t="n">
        <f aca="false">IF(D13=0,0,-D18/D13)</f>
        <v>0.393110435663627</v>
      </c>
      <c r="E21" s="37" t="n">
        <f aca="false">IF(E13=0,0,-E18/E13)</f>
        <v>0.193178989295494</v>
      </c>
      <c r="F21" s="37" t="n">
        <f aca="false">IF(F13=0,0,-F18/F13)</f>
        <v>0.393110435663627</v>
      </c>
      <c r="G21" s="37" t="n">
        <f aca="false">IF(G13=0,0,-G18/G13)</f>
        <v>0.393110435663627</v>
      </c>
      <c r="H21" s="37" t="n">
        <f aca="false">IF(H13=0,0,-H18/H13)</f>
        <v>0.193178989295494</v>
      </c>
      <c r="I21" s="37" t="n">
        <f aca="false">IF(I13=0,0,-I18/I13)</f>
        <v>0.393110435663627</v>
      </c>
      <c r="J21" s="37" t="n">
        <f aca="false">IF(J13=0,0,-J18/J13)</f>
        <v>0.393110435663627</v>
      </c>
      <c r="K21" s="37" t="n">
        <f aca="false">IF(K13=0,0,-K18/K13)</f>
        <v>0.193178989295494</v>
      </c>
      <c r="L21" s="37" t="n">
        <f aca="false">IF(L13=0,0,-L18/L13)</f>
        <v>0.393110435663627</v>
      </c>
      <c r="M21" s="37" t="n">
        <f aca="false">IF(M13=0,0,-M18/M13)</f>
        <v>0.393110435663627</v>
      </c>
      <c r="N21" s="37" t="n">
        <f aca="false">IF(N13=0,0,-N18/N13)</f>
        <v>0.128052805280528</v>
      </c>
      <c r="O21" s="38" t="n">
        <f aca="false">IF(O13=0,0,-O18/O13)</f>
        <v>0.281182930568331</v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customFormat="false" ht="17.35" hidden="false" customHeight="false" outlineLevel="0" collapsed="false">
      <c r="A24" s="1" t="s">
        <v>98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customFormat="false" ht="15" hidden="false" customHeight="false" outlineLevel="0" collapsed="false">
      <c r="A25" s="19" t="s">
        <v>134</v>
      </c>
      <c r="B25" s="19" t="s">
        <v>135</v>
      </c>
      <c r="C25" s="19" t="s">
        <v>136</v>
      </c>
      <c r="D25" s="19" t="s">
        <v>137</v>
      </c>
      <c r="E25" s="19" t="s">
        <v>138</v>
      </c>
      <c r="F25" s="19" t="s">
        <v>139</v>
      </c>
      <c r="G25" s="19" t="s">
        <v>140</v>
      </c>
      <c r="H25" s="19" t="s">
        <v>141</v>
      </c>
      <c r="I25" s="19" t="s">
        <v>142</v>
      </c>
      <c r="J25" s="19" t="s">
        <v>143</v>
      </c>
      <c r="K25" s="19" t="s">
        <v>144</v>
      </c>
      <c r="L25" s="19" t="s">
        <v>145</v>
      </c>
      <c r="M25" s="19" t="s">
        <v>146</v>
      </c>
      <c r="N25" s="19" t="s">
        <v>147</v>
      </c>
      <c r="O25" s="19" t="s">
        <v>148</v>
      </c>
    </row>
    <row r="26" customFormat="false" ht="15" hidden="false" customHeight="false" outlineLevel="0" collapsed="false">
      <c r="A26" s="2" t="s">
        <v>149</v>
      </c>
      <c r="B26" s="35" t="n">
        <f aca="false">Assumptions!$B$36</f>
        <v>3</v>
      </c>
      <c r="C26" s="35" t="n">
        <f aca="false">Assumptions!$B$36</f>
        <v>3</v>
      </c>
      <c r="D26" s="35" t="n">
        <f aca="false">Assumptions!$B$36+1</f>
        <v>4</v>
      </c>
      <c r="E26" s="35" t="n">
        <f aca="false">Assumptions!$B$36+1</f>
        <v>4</v>
      </c>
      <c r="F26" s="35" t="n">
        <f aca="false">Assumptions!$B$36+1</f>
        <v>4</v>
      </c>
      <c r="G26" s="35" t="n">
        <f aca="false">Assumptions!$B$36+1</f>
        <v>4</v>
      </c>
      <c r="H26" s="35" t="n">
        <f aca="false">Assumptions!$B$36+1</f>
        <v>4</v>
      </c>
      <c r="I26" s="35" t="n">
        <f aca="false">Assumptions!$B$36+1</f>
        <v>4</v>
      </c>
      <c r="J26" s="35" t="n">
        <f aca="false">Assumptions!$B$36+1</f>
        <v>4</v>
      </c>
      <c r="K26" s="35" t="n">
        <f aca="false">Assumptions!$B$36+1</f>
        <v>4</v>
      </c>
      <c r="L26" s="35" t="n">
        <f aca="false">Assumptions!$B$36+1</f>
        <v>4</v>
      </c>
      <c r="M26" s="35" t="n">
        <f aca="false">Assumptions!$B$36+1</f>
        <v>4</v>
      </c>
      <c r="N26" s="35" t="n">
        <f aca="false">Assumptions!$B$36+1</f>
        <v>4</v>
      </c>
      <c r="O26" s="6"/>
    </row>
    <row r="27" customFormat="false" ht="15" hidden="false" customHeight="false" outlineLevel="0" collapsed="false">
      <c r="A27" s="2" t="s">
        <v>150</v>
      </c>
      <c r="B27" s="9" t="n">
        <v>0</v>
      </c>
      <c r="C27" s="9" t="n">
        <v>1</v>
      </c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9" t="n">
        <v>1</v>
      </c>
      <c r="J27" s="9" t="n">
        <v>1</v>
      </c>
      <c r="K27" s="9" t="n">
        <v>1</v>
      </c>
      <c r="L27" s="9" t="n">
        <v>1</v>
      </c>
      <c r="M27" s="9" t="n">
        <v>1</v>
      </c>
      <c r="N27" s="9" t="n">
        <v>1</v>
      </c>
      <c r="O27" s="6"/>
    </row>
    <row r="28" customFormat="false" ht="15" hidden="false" customHeight="false" outlineLevel="0" collapsed="false">
      <c r="A28" s="2" t="s">
        <v>151</v>
      </c>
      <c r="B28" s="35" t="n">
        <f aca="false">Assumptions!$B$32</f>
        <v>20</v>
      </c>
      <c r="C28" s="35" t="n">
        <f aca="false">Assumptions!$B$32</f>
        <v>20</v>
      </c>
      <c r="D28" s="35" t="n">
        <f aca="false">Assumptions!$B$32</f>
        <v>20</v>
      </c>
      <c r="E28" s="35" t="n">
        <f aca="false">Assumptions!$B$32</f>
        <v>20</v>
      </c>
      <c r="F28" s="35" t="n">
        <f aca="false">Assumptions!$B$32</f>
        <v>20</v>
      </c>
      <c r="G28" s="35" t="n">
        <f aca="false">Assumptions!$B$32</f>
        <v>20</v>
      </c>
      <c r="H28" s="35" t="n">
        <f aca="false">Assumptions!$B$32</f>
        <v>20</v>
      </c>
      <c r="I28" s="35" t="n">
        <f aca="false">Assumptions!$B$32</f>
        <v>20</v>
      </c>
      <c r="J28" s="35" t="n">
        <f aca="false">Assumptions!$B$32</f>
        <v>20</v>
      </c>
      <c r="K28" s="35" t="n">
        <f aca="false">Assumptions!$B$32</f>
        <v>20</v>
      </c>
      <c r="L28" s="35" t="n">
        <f aca="false">Assumptions!$B$32</f>
        <v>20</v>
      </c>
      <c r="M28" s="35" t="n">
        <f aca="false">Assumptions!$B$32</f>
        <v>20</v>
      </c>
      <c r="N28" s="35" t="n">
        <f aca="false">Assumptions!$B$32</f>
        <v>20</v>
      </c>
      <c r="O28" s="6"/>
    </row>
    <row r="29" customFormat="false" ht="15" hidden="false" customHeight="false" outlineLevel="0" collapsed="false">
      <c r="A29" s="2" t="s">
        <v>152</v>
      </c>
      <c r="B29" s="23" t="n">
        <f aca="false">Assumptions!$B$55*SUM('Purse Schedule'!$D$4:$F$4)</f>
        <v>315</v>
      </c>
      <c r="C29" s="23" t="n">
        <f aca="false">Assumptions!$B$55*SUM('Purse Schedule'!$D$5:$F$5)</f>
        <v>315</v>
      </c>
      <c r="D29" s="23" t="n">
        <f aca="false">Assumptions!$B$55*SUM('Purse Schedule'!$D$6:$F$6)</f>
        <v>315</v>
      </c>
      <c r="E29" s="23" t="n">
        <f aca="false">Assumptions!$B$55*SUM('Purse Schedule'!$D$7:$F$7)</f>
        <v>787.5</v>
      </c>
      <c r="F29" s="23" t="n">
        <f aca="false">Assumptions!$B$55*SUM('Purse Schedule'!$D$8:$F$8)</f>
        <v>315</v>
      </c>
      <c r="G29" s="23" t="n">
        <f aca="false">Assumptions!$B$55*SUM('Purse Schedule'!$D$9:$F$9)</f>
        <v>315</v>
      </c>
      <c r="H29" s="23" t="n">
        <f aca="false">Assumptions!$B$55*SUM('Purse Schedule'!$D$10:$F$10)</f>
        <v>787.5</v>
      </c>
      <c r="I29" s="23" t="n">
        <f aca="false">Assumptions!$B$55*SUM('Purse Schedule'!$D$11:$F$11)</f>
        <v>315</v>
      </c>
      <c r="J29" s="23" t="n">
        <f aca="false">Assumptions!$B$55*SUM('Purse Schedule'!$D$12:$F$12)</f>
        <v>315</v>
      </c>
      <c r="K29" s="23" t="n">
        <f aca="false">Assumptions!$B$55*SUM('Purse Schedule'!$D$13:$F$13)</f>
        <v>787.5</v>
      </c>
      <c r="L29" s="23" t="n">
        <f aca="false">Assumptions!$B$55*SUM('Purse Schedule'!$D$14:$F$14)</f>
        <v>315</v>
      </c>
      <c r="M29" s="23" t="n">
        <f aca="false">Assumptions!$B$55*SUM('Purse Schedule'!$D$15:$F$15)</f>
        <v>315</v>
      </c>
      <c r="N29" s="23" t="n">
        <f aca="false">Assumptions!$B$55*SUM('Purse Schedule'!$D$16:$F$16)</f>
        <v>1260</v>
      </c>
      <c r="O29" s="36" t="n">
        <f aca="false">SUM(B29:N29)</f>
        <v>6457.5</v>
      </c>
    </row>
    <row r="30" customFormat="false" ht="15" hidden="false" customHeight="false" outlineLevel="0" collapsed="false">
      <c r="A30" s="2" t="s">
        <v>153</v>
      </c>
      <c r="B30" s="23" t="n">
        <f aca="false">Assumptions!$C$55*SUM('Purse Schedule'!$G$4:$I$4)</f>
        <v>652.5</v>
      </c>
      <c r="C30" s="23" t="n">
        <f aca="false">Assumptions!$C$55*SUM('Purse Schedule'!$G$5:$I$5)</f>
        <v>652.5</v>
      </c>
      <c r="D30" s="23" t="n">
        <f aca="false">Assumptions!$C$55*SUM('Purse Schedule'!$G$6:$I$6)</f>
        <v>652.5</v>
      </c>
      <c r="E30" s="23" t="n">
        <f aca="false">Assumptions!$C$55*SUM('Purse Schedule'!$G$7:$I$7)</f>
        <v>1631.25</v>
      </c>
      <c r="F30" s="23" t="n">
        <f aca="false">Assumptions!$C$55*SUM('Purse Schedule'!$G$8:$I$8)</f>
        <v>652.5</v>
      </c>
      <c r="G30" s="23" t="n">
        <f aca="false">Assumptions!$C$55*SUM('Purse Schedule'!$G$9:$I$9)</f>
        <v>652.5</v>
      </c>
      <c r="H30" s="23" t="n">
        <f aca="false">Assumptions!$C$55*SUM('Purse Schedule'!$G$10:$I$10)</f>
        <v>1631.25</v>
      </c>
      <c r="I30" s="23" t="n">
        <f aca="false">Assumptions!$C$55*SUM('Purse Schedule'!$G$11:$I$11)</f>
        <v>652.5</v>
      </c>
      <c r="J30" s="23" t="n">
        <f aca="false">Assumptions!$C$55*SUM('Purse Schedule'!$G$12:$I$12)</f>
        <v>652.5</v>
      </c>
      <c r="K30" s="23" t="n">
        <f aca="false">Assumptions!$C$55*SUM('Purse Schedule'!$G$13:$I$13)</f>
        <v>1631.25</v>
      </c>
      <c r="L30" s="23" t="n">
        <f aca="false">Assumptions!$C$55*SUM('Purse Schedule'!$G$14:$I$14)</f>
        <v>652.5</v>
      </c>
      <c r="M30" s="23" t="n">
        <f aca="false">Assumptions!$C$55*SUM('Purse Schedule'!$G$15:$I$15)</f>
        <v>652.5</v>
      </c>
      <c r="N30" s="23" t="n">
        <f aca="false">Assumptions!$C$55*SUM('Purse Schedule'!$G$16:$I$16)</f>
        <v>2610</v>
      </c>
      <c r="O30" s="36" t="n">
        <f aca="false">SUM(B30:N30)</f>
        <v>13376.25</v>
      </c>
    </row>
    <row r="31" customFormat="false" ht="15" hidden="false" customHeight="false" outlineLevel="0" collapsed="false">
      <c r="A31" s="2" t="s">
        <v>154</v>
      </c>
      <c r="B31" s="23" t="n">
        <f aca="false">Assumptions!$D$55*SUM('Purse Schedule'!$J$4:$L$4)</f>
        <v>1260</v>
      </c>
      <c r="C31" s="23" t="n">
        <f aca="false">Assumptions!$D$55*SUM('Purse Schedule'!$J$5:$L$5)</f>
        <v>1260</v>
      </c>
      <c r="D31" s="23" t="n">
        <f aca="false">Assumptions!$D$55*SUM('Purse Schedule'!$J$6:$L$6)</f>
        <v>1260</v>
      </c>
      <c r="E31" s="23" t="n">
        <f aca="false">Assumptions!$D$55*SUM('Purse Schedule'!$J$7:$L$7)</f>
        <v>3150</v>
      </c>
      <c r="F31" s="23" t="n">
        <f aca="false">Assumptions!$D$55*SUM('Purse Schedule'!$J$8:$L$8)</f>
        <v>1260</v>
      </c>
      <c r="G31" s="23" t="n">
        <f aca="false">Assumptions!$D$55*SUM('Purse Schedule'!$J$9:$L$9)</f>
        <v>1260</v>
      </c>
      <c r="H31" s="23" t="n">
        <f aca="false">Assumptions!$D$55*SUM('Purse Schedule'!$J$10:$L$10)</f>
        <v>3150</v>
      </c>
      <c r="I31" s="23" t="n">
        <f aca="false">Assumptions!$D$55*SUM('Purse Schedule'!$J$11:$L$11)</f>
        <v>1260</v>
      </c>
      <c r="J31" s="23" t="n">
        <f aca="false">Assumptions!$D$55*SUM('Purse Schedule'!$J$12:$L$12)</f>
        <v>1260</v>
      </c>
      <c r="K31" s="23" t="n">
        <f aca="false">Assumptions!$D$55*SUM('Purse Schedule'!$J$13:$L$13)</f>
        <v>3150</v>
      </c>
      <c r="L31" s="23" t="n">
        <f aca="false">Assumptions!$D$55*SUM('Purse Schedule'!$J$14:$L$14)</f>
        <v>1260</v>
      </c>
      <c r="M31" s="23" t="n">
        <f aca="false">Assumptions!$D$55*SUM('Purse Schedule'!$J$15:$L$15)</f>
        <v>1260</v>
      </c>
      <c r="N31" s="23" t="n">
        <f aca="false">Assumptions!$D$55*SUM('Purse Schedule'!$J$16:$L$16)</f>
        <v>5040</v>
      </c>
      <c r="O31" s="36" t="n">
        <f aca="false">SUM(B31:N31)</f>
        <v>25830</v>
      </c>
    </row>
    <row r="32" customFormat="false" ht="15" hidden="false" customHeight="false" outlineLevel="0" collapsed="false">
      <c r="A32" s="2" t="s">
        <v>155</v>
      </c>
      <c r="B32" s="23" t="n">
        <f aca="false">(B28-B26*Assumptions!$B$24)*Assumptions!$B$31</f>
        <v>765</v>
      </c>
      <c r="C32" s="23" t="n">
        <f aca="false">(C28-C26*Assumptions!$B$24)*Assumptions!$B$31</f>
        <v>765</v>
      </c>
      <c r="D32" s="23" t="n">
        <f aca="false">(D28-D26*Assumptions!$B$24)*Assumptions!$B$31</f>
        <v>720</v>
      </c>
      <c r="E32" s="23" t="n">
        <f aca="false">(E28-E26*Assumptions!$B$24)*Assumptions!$B$31</f>
        <v>720</v>
      </c>
      <c r="F32" s="23" t="n">
        <f aca="false">(F28-F26*Assumptions!$B$24)*Assumptions!$B$31</f>
        <v>720</v>
      </c>
      <c r="G32" s="23" t="n">
        <f aca="false">(G28-G26*Assumptions!$B$24)*Assumptions!$B$31</f>
        <v>720</v>
      </c>
      <c r="H32" s="23" t="n">
        <f aca="false">(H28-H26*Assumptions!$B$24)*Assumptions!$B$31</f>
        <v>720</v>
      </c>
      <c r="I32" s="23" t="n">
        <f aca="false">(I28-I26*Assumptions!$B$24)*Assumptions!$B$31</f>
        <v>720</v>
      </c>
      <c r="J32" s="23" t="n">
        <f aca="false">(J28-J26*Assumptions!$B$24)*Assumptions!$B$31</f>
        <v>720</v>
      </c>
      <c r="K32" s="23" t="n">
        <f aca="false">(K28-K26*Assumptions!$B$24)*Assumptions!$B$31</f>
        <v>720</v>
      </c>
      <c r="L32" s="23" t="n">
        <f aca="false">(L28-L26*Assumptions!$B$24)*Assumptions!$B$31</f>
        <v>720</v>
      </c>
      <c r="M32" s="23" t="n">
        <f aca="false">(M28-M26*Assumptions!$B$24)*Assumptions!$B$31</f>
        <v>720</v>
      </c>
      <c r="N32" s="23" t="n">
        <f aca="false">(N28-N26*Assumptions!$B$24)*Assumptions!$B$31</f>
        <v>720</v>
      </c>
      <c r="O32" s="36" t="n">
        <f aca="false">SUM(B32:N32)</f>
        <v>9450</v>
      </c>
    </row>
    <row r="33" customFormat="false" ht="15" hidden="false" customHeight="false" outlineLevel="0" collapsed="false">
      <c r="A33" s="3" t="s">
        <v>156</v>
      </c>
      <c r="B33" s="36" t="n">
        <f aca="false">SUM(B29:B32)</f>
        <v>2992.5</v>
      </c>
      <c r="C33" s="36" t="n">
        <f aca="false">SUM(C29:C32)</f>
        <v>2992.5</v>
      </c>
      <c r="D33" s="36" t="n">
        <f aca="false">SUM(D29:D32)</f>
        <v>2947.5</v>
      </c>
      <c r="E33" s="36" t="n">
        <f aca="false">SUM(E29:E32)</f>
        <v>6288.75</v>
      </c>
      <c r="F33" s="36" t="n">
        <f aca="false">SUM(F29:F32)</f>
        <v>2947.5</v>
      </c>
      <c r="G33" s="36" t="n">
        <f aca="false">SUM(G29:G32)</f>
        <v>2947.5</v>
      </c>
      <c r="H33" s="36" t="n">
        <f aca="false">SUM(H29:H32)</f>
        <v>6288.75</v>
      </c>
      <c r="I33" s="36" t="n">
        <f aca="false">SUM(I29:I32)</f>
        <v>2947.5</v>
      </c>
      <c r="J33" s="36" t="n">
        <f aca="false">SUM(J29:J32)</f>
        <v>2947.5</v>
      </c>
      <c r="K33" s="36" t="n">
        <f aca="false">SUM(K29:K32)</f>
        <v>6288.75</v>
      </c>
      <c r="L33" s="36" t="n">
        <f aca="false">SUM(L29:L32)</f>
        <v>2947.5</v>
      </c>
      <c r="M33" s="36" t="n">
        <f aca="false">SUM(M29:M32)</f>
        <v>2947.5</v>
      </c>
      <c r="N33" s="36" t="n">
        <f aca="false">SUM(N29:N32)</f>
        <v>9630</v>
      </c>
      <c r="O33" s="36" t="n">
        <f aca="false">SUM(B33:N33)</f>
        <v>55113.75</v>
      </c>
    </row>
    <row r="34" customFormat="false" ht="15" hidden="false" customHeight="false" outlineLevel="0" collapsed="false">
      <c r="A34" s="2" t="s">
        <v>157</v>
      </c>
      <c r="B34" s="23" t="n">
        <f aca="false">-B26*Assumptions!$B$23</f>
        <v>-450</v>
      </c>
      <c r="C34" s="23" t="n">
        <f aca="false">-C26*Assumptions!$B$23</f>
        <v>-450</v>
      </c>
      <c r="D34" s="23" t="n">
        <f aca="false">-D26*Assumptions!$B$23</f>
        <v>-600</v>
      </c>
      <c r="E34" s="23" t="n">
        <f aca="false">-E26*Assumptions!$B$23</f>
        <v>-600</v>
      </c>
      <c r="F34" s="23" t="n">
        <f aca="false">-F26*Assumptions!$B$23</f>
        <v>-600</v>
      </c>
      <c r="G34" s="23" t="n">
        <f aca="false">-G26*Assumptions!$B$23</f>
        <v>-600</v>
      </c>
      <c r="H34" s="23" t="n">
        <f aca="false">-H26*Assumptions!$B$23</f>
        <v>-600</v>
      </c>
      <c r="I34" s="23" t="n">
        <f aca="false">-I26*Assumptions!$B$23</f>
        <v>-600</v>
      </c>
      <c r="J34" s="23" t="n">
        <f aca="false">-J26*Assumptions!$B$23</f>
        <v>-600</v>
      </c>
      <c r="K34" s="23" t="n">
        <f aca="false">-K26*Assumptions!$B$23</f>
        <v>-600</v>
      </c>
      <c r="L34" s="23" t="n">
        <f aca="false">-L26*Assumptions!$B$23</f>
        <v>-600</v>
      </c>
      <c r="M34" s="23" t="n">
        <f aca="false">-M26*Assumptions!$B$23</f>
        <v>-600</v>
      </c>
      <c r="N34" s="23" t="n">
        <f aca="false">-N26*Assumptions!$B$23</f>
        <v>-600</v>
      </c>
      <c r="O34" s="36" t="n">
        <f aca="false">SUM(B34:N34)</f>
        <v>-7500</v>
      </c>
    </row>
    <row r="35" customFormat="false" ht="15" hidden="false" customHeight="false" outlineLevel="0" collapsed="false">
      <c r="A35" s="2" t="s">
        <v>158</v>
      </c>
      <c r="B35" s="23" t="n">
        <f aca="false">-B26*Assumptions!$B$24*(Assumptions!$B$29+Assumptions!$B$30)/2</f>
        <v>-270</v>
      </c>
      <c r="C35" s="23" t="n">
        <f aca="false">-C26*Assumptions!$B$24*(Assumptions!$B$29+Assumptions!$B$30)/2</f>
        <v>-270</v>
      </c>
      <c r="D35" s="23" t="n">
        <f aca="false">-D26*Assumptions!$B$24*(Assumptions!$B$29+Assumptions!$B$30)/2</f>
        <v>-360</v>
      </c>
      <c r="E35" s="23" t="n">
        <f aca="false">-E26*Assumptions!$B$24*(Assumptions!$B$29+Assumptions!$B$30)/2</f>
        <v>-360</v>
      </c>
      <c r="F35" s="23" t="n">
        <f aca="false">-F26*Assumptions!$B$24*(Assumptions!$B$29+Assumptions!$B$30)/2</f>
        <v>-360</v>
      </c>
      <c r="G35" s="23" t="n">
        <f aca="false">-G26*Assumptions!$B$24*(Assumptions!$B$29+Assumptions!$B$30)/2</f>
        <v>-360</v>
      </c>
      <c r="H35" s="23" t="n">
        <f aca="false">-H26*Assumptions!$B$24*(Assumptions!$B$29+Assumptions!$B$30)/2</f>
        <v>-360</v>
      </c>
      <c r="I35" s="23" t="n">
        <f aca="false">-I26*Assumptions!$B$24*(Assumptions!$B$29+Assumptions!$B$30)/2</f>
        <v>-360</v>
      </c>
      <c r="J35" s="23" t="n">
        <f aca="false">-J26*Assumptions!$B$24*(Assumptions!$B$29+Assumptions!$B$30)/2</f>
        <v>-360</v>
      </c>
      <c r="K35" s="23" t="n">
        <f aca="false">-K26*Assumptions!$B$24*(Assumptions!$B$29+Assumptions!$B$30)/2</f>
        <v>-360</v>
      </c>
      <c r="L35" s="23" t="n">
        <f aca="false">-L26*Assumptions!$B$24*(Assumptions!$B$29+Assumptions!$B$30)/2</f>
        <v>-360</v>
      </c>
      <c r="M35" s="23" t="n">
        <f aca="false">-M26*Assumptions!$B$24*(Assumptions!$B$29+Assumptions!$B$30)/2</f>
        <v>-360</v>
      </c>
      <c r="N35" s="23" t="n">
        <f aca="false">-N26*Assumptions!$B$24*(Assumptions!$B$29+Assumptions!$B$30)/2</f>
        <v>-360</v>
      </c>
      <c r="O35" s="36" t="n">
        <f aca="false">SUM(B35:N35)</f>
        <v>-4500</v>
      </c>
    </row>
    <row r="36" customFormat="false" ht="15" hidden="false" customHeight="false" outlineLevel="0" collapsed="false">
      <c r="A36" s="2" t="s">
        <v>159</v>
      </c>
      <c r="B36" s="23" t="n">
        <f aca="false">-Assumptions!$B$25</f>
        <v>-250</v>
      </c>
      <c r="C36" s="23" t="n">
        <f aca="false">-Assumptions!$B$25</f>
        <v>-250</v>
      </c>
      <c r="D36" s="23" t="n">
        <f aca="false">-Assumptions!$B$25</f>
        <v>-250</v>
      </c>
      <c r="E36" s="23" t="n">
        <f aca="false">-Assumptions!$B$25</f>
        <v>-250</v>
      </c>
      <c r="F36" s="23" t="n">
        <f aca="false">-Assumptions!$B$25</f>
        <v>-250</v>
      </c>
      <c r="G36" s="23" t="n">
        <f aca="false">-Assumptions!$B$25</f>
        <v>-250</v>
      </c>
      <c r="H36" s="23" t="n">
        <f aca="false">-Assumptions!$B$25</f>
        <v>-250</v>
      </c>
      <c r="I36" s="23" t="n">
        <f aca="false">-Assumptions!$B$25</f>
        <v>-250</v>
      </c>
      <c r="J36" s="23" t="n">
        <f aca="false">-Assumptions!$B$25</f>
        <v>-250</v>
      </c>
      <c r="K36" s="23" t="n">
        <f aca="false">-Assumptions!$B$25</f>
        <v>-250</v>
      </c>
      <c r="L36" s="23" t="n">
        <f aca="false">-Assumptions!$B$25</f>
        <v>-250</v>
      </c>
      <c r="M36" s="23" t="n">
        <f aca="false">-Assumptions!$B$25</f>
        <v>-250</v>
      </c>
      <c r="N36" s="23" t="n">
        <f aca="false">-Assumptions!$B$25</f>
        <v>-250</v>
      </c>
      <c r="O36" s="36" t="n">
        <f aca="false">SUM(B36:N36)</f>
        <v>-3250</v>
      </c>
    </row>
    <row r="37" customFormat="false" ht="15" hidden="false" customHeight="false" outlineLevel="0" collapsed="false">
      <c r="A37" s="2" t="s">
        <v>160</v>
      </c>
      <c r="B37" s="23" t="n">
        <f aca="false">-B27*Assumptions!$B$26</f>
        <v>-0</v>
      </c>
      <c r="C37" s="23" t="n">
        <f aca="false">-C27*Assumptions!$B$26</f>
        <v>-400</v>
      </c>
      <c r="D37" s="23" t="n">
        <f aca="false">-D27*Assumptions!$B$26</f>
        <v>-400</v>
      </c>
      <c r="E37" s="23" t="n">
        <f aca="false">-E27*Assumptions!$B$26</f>
        <v>-400</v>
      </c>
      <c r="F37" s="23" t="n">
        <f aca="false">-F27*Assumptions!$B$26</f>
        <v>-400</v>
      </c>
      <c r="G37" s="23" t="n">
        <f aca="false">-G27*Assumptions!$B$26</f>
        <v>-400</v>
      </c>
      <c r="H37" s="23" t="n">
        <f aca="false">-H27*Assumptions!$B$26</f>
        <v>-400</v>
      </c>
      <c r="I37" s="23" t="n">
        <f aca="false">-I27*Assumptions!$B$26</f>
        <v>-400</v>
      </c>
      <c r="J37" s="23" t="n">
        <f aca="false">-J27*Assumptions!$B$26</f>
        <v>-400</v>
      </c>
      <c r="K37" s="23" t="n">
        <f aca="false">-K27*Assumptions!$B$26</f>
        <v>-400</v>
      </c>
      <c r="L37" s="23" t="n">
        <f aca="false">-L27*Assumptions!$B$26</f>
        <v>-400</v>
      </c>
      <c r="M37" s="23" t="n">
        <f aca="false">-M27*Assumptions!$B$26</f>
        <v>-400</v>
      </c>
      <c r="N37" s="23" t="n">
        <f aca="false">-N27*Assumptions!$B$26</f>
        <v>-400</v>
      </c>
      <c r="O37" s="36" t="n">
        <f aca="false">SUM(B37:N37)</f>
        <v>-4800</v>
      </c>
    </row>
    <row r="38" customFormat="false" ht="15" hidden="false" customHeight="false" outlineLevel="0" collapsed="false">
      <c r="A38" s="3" t="s">
        <v>161</v>
      </c>
      <c r="B38" s="36" t="n">
        <f aca="false">SUM(B34:B37)</f>
        <v>-970</v>
      </c>
      <c r="C38" s="36" t="n">
        <f aca="false">SUM(C34:C37)</f>
        <v>-1370</v>
      </c>
      <c r="D38" s="36" t="n">
        <f aca="false">SUM(D34:D37)</f>
        <v>-1610</v>
      </c>
      <c r="E38" s="36" t="n">
        <f aca="false">SUM(E34:E37)</f>
        <v>-1610</v>
      </c>
      <c r="F38" s="36" t="n">
        <f aca="false">SUM(F34:F37)</f>
        <v>-1610</v>
      </c>
      <c r="G38" s="36" t="n">
        <f aca="false">SUM(G34:G37)</f>
        <v>-1610</v>
      </c>
      <c r="H38" s="36" t="n">
        <f aca="false">SUM(H34:H37)</f>
        <v>-1610</v>
      </c>
      <c r="I38" s="36" t="n">
        <f aca="false">SUM(I34:I37)</f>
        <v>-1610</v>
      </c>
      <c r="J38" s="36" t="n">
        <f aca="false">SUM(J34:J37)</f>
        <v>-1610</v>
      </c>
      <c r="K38" s="36" t="n">
        <f aca="false">SUM(K34:K37)</f>
        <v>-1610</v>
      </c>
      <c r="L38" s="36" t="n">
        <f aca="false">SUM(L34:L37)</f>
        <v>-1610</v>
      </c>
      <c r="M38" s="36" t="n">
        <f aca="false">SUM(M34:M37)</f>
        <v>-1610</v>
      </c>
      <c r="N38" s="36" t="n">
        <f aca="false">SUM(N34:N37)</f>
        <v>-1610</v>
      </c>
      <c r="O38" s="36" t="n">
        <f aca="false">SUM(B38:N38)</f>
        <v>-20050</v>
      </c>
    </row>
    <row r="39" customFormat="false" ht="15" hidden="false" customHeight="false" outlineLevel="0" collapsed="false">
      <c r="A39" s="3" t="s">
        <v>162</v>
      </c>
      <c r="B39" s="36" t="n">
        <f aca="false">B33+B38</f>
        <v>2022.5</v>
      </c>
      <c r="C39" s="36" t="n">
        <f aca="false">C33+C38</f>
        <v>1622.5</v>
      </c>
      <c r="D39" s="36" t="n">
        <f aca="false">D33+D38</f>
        <v>1337.5</v>
      </c>
      <c r="E39" s="36" t="n">
        <f aca="false">E33+E38</f>
        <v>4678.75</v>
      </c>
      <c r="F39" s="36" t="n">
        <f aca="false">F33+F38</f>
        <v>1337.5</v>
      </c>
      <c r="G39" s="36" t="n">
        <f aca="false">G33+G38</f>
        <v>1337.5</v>
      </c>
      <c r="H39" s="36" t="n">
        <f aca="false">H33+H38</f>
        <v>4678.75</v>
      </c>
      <c r="I39" s="36" t="n">
        <f aca="false">I33+I38</f>
        <v>1337.5</v>
      </c>
      <c r="J39" s="36" t="n">
        <f aca="false">J33+J38</f>
        <v>1337.5</v>
      </c>
      <c r="K39" s="36" t="n">
        <f aca="false">K33+K38</f>
        <v>4678.75</v>
      </c>
      <c r="L39" s="36" t="n">
        <f aca="false">L33+L38</f>
        <v>1337.5</v>
      </c>
      <c r="M39" s="36" t="n">
        <f aca="false">M33+M38</f>
        <v>1337.5</v>
      </c>
      <c r="N39" s="36" t="n">
        <f aca="false">N33+N38</f>
        <v>8020</v>
      </c>
      <c r="O39" s="36" t="n">
        <f aca="false">SUM(B39:N39)</f>
        <v>35063.75</v>
      </c>
    </row>
    <row r="40" customFormat="false" ht="15" hidden="false" customHeight="false" outlineLevel="0" collapsed="false">
      <c r="A40" s="3" t="s">
        <v>163</v>
      </c>
      <c r="B40" s="36" t="n">
        <f aca="false">Assumptions!$B$35+B39</f>
        <v>8022.5</v>
      </c>
      <c r="C40" s="36" t="n">
        <f aca="false">B40+C39</f>
        <v>9645</v>
      </c>
      <c r="D40" s="36" t="n">
        <f aca="false">C40+D39</f>
        <v>10982.5</v>
      </c>
      <c r="E40" s="36" t="n">
        <f aca="false">D40+E39</f>
        <v>15661.25</v>
      </c>
      <c r="F40" s="36" t="n">
        <f aca="false">E40+F39</f>
        <v>16998.75</v>
      </c>
      <c r="G40" s="36" t="n">
        <f aca="false">F40+G39</f>
        <v>18336.25</v>
      </c>
      <c r="H40" s="36" t="n">
        <f aca="false">G40+H39</f>
        <v>23015</v>
      </c>
      <c r="I40" s="36" t="n">
        <f aca="false">H40+I39</f>
        <v>24352.5</v>
      </c>
      <c r="J40" s="36" t="n">
        <f aca="false">I40+J39</f>
        <v>25690</v>
      </c>
      <c r="K40" s="36" t="n">
        <f aca="false">J40+K39</f>
        <v>30368.75</v>
      </c>
      <c r="L40" s="36" t="n">
        <f aca="false">K40+L39</f>
        <v>31706.25</v>
      </c>
      <c r="M40" s="36" t="n">
        <f aca="false">L40+M39</f>
        <v>33043.75</v>
      </c>
      <c r="N40" s="36" t="n">
        <f aca="false">M40+N39</f>
        <v>41063.75</v>
      </c>
      <c r="O40" s="36" t="n">
        <f aca="false">N40</f>
        <v>41063.75</v>
      </c>
    </row>
    <row r="41" customFormat="false" ht="15" hidden="false" customHeight="false" outlineLevel="0" collapsed="false">
      <c r="A41" s="2" t="s">
        <v>164</v>
      </c>
      <c r="B41" s="37" t="n">
        <f aca="false">IF(B33=0,0,-B38/B33)</f>
        <v>0.324143692564745</v>
      </c>
      <c r="C41" s="37" t="n">
        <f aca="false">IF(C33=0,0,-C38/C33)</f>
        <v>0.4578111946533</v>
      </c>
      <c r="D41" s="37" t="n">
        <f aca="false">IF(D33=0,0,-D38/D33)</f>
        <v>0.546225614927905</v>
      </c>
      <c r="E41" s="37" t="n">
        <f aca="false">IF(E33=0,0,-E38/E33)</f>
        <v>0.256012721129</v>
      </c>
      <c r="F41" s="37" t="n">
        <f aca="false">IF(F33=0,0,-F38/F33)</f>
        <v>0.546225614927905</v>
      </c>
      <c r="G41" s="37" t="n">
        <f aca="false">IF(G33=0,0,-G38/G33)</f>
        <v>0.546225614927905</v>
      </c>
      <c r="H41" s="37" t="n">
        <f aca="false">IF(H33=0,0,-H38/H33)</f>
        <v>0.256012721129</v>
      </c>
      <c r="I41" s="37" t="n">
        <f aca="false">IF(I33=0,0,-I38/I33)</f>
        <v>0.546225614927905</v>
      </c>
      <c r="J41" s="37" t="n">
        <f aca="false">IF(J33=0,0,-J38/J33)</f>
        <v>0.546225614927905</v>
      </c>
      <c r="K41" s="37" t="n">
        <f aca="false">IF(K33=0,0,-K38/K33)</f>
        <v>0.256012721129</v>
      </c>
      <c r="L41" s="37" t="n">
        <f aca="false">IF(L33=0,0,-L38/L33)</f>
        <v>0.546225614927905</v>
      </c>
      <c r="M41" s="37" t="n">
        <f aca="false">IF(M33=0,0,-M38/M33)</f>
        <v>0.546225614927905</v>
      </c>
      <c r="N41" s="37" t="n">
        <f aca="false">IF(N33=0,0,-N38/N33)</f>
        <v>0.167185877466251</v>
      </c>
      <c r="O41" s="38" t="n">
        <f aca="false">IF(O33=0,0,-O38/O33)</f>
        <v>0.363793064344197</v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</row>
    <row r="44" customFormat="false" ht="17.35" hidden="false" customHeight="false" outlineLevel="0" collapsed="false">
      <c r="A44" s="1" t="s">
        <v>99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</row>
    <row r="45" customFormat="false" ht="15" hidden="false" customHeight="false" outlineLevel="0" collapsed="false">
      <c r="A45" s="19" t="s">
        <v>134</v>
      </c>
      <c r="B45" s="19" t="s">
        <v>135</v>
      </c>
      <c r="C45" s="19" t="s">
        <v>136</v>
      </c>
      <c r="D45" s="19" t="s">
        <v>137</v>
      </c>
      <c r="E45" s="19" t="s">
        <v>138</v>
      </c>
      <c r="F45" s="19" t="s">
        <v>139</v>
      </c>
      <c r="G45" s="19" t="s">
        <v>140</v>
      </c>
      <c r="H45" s="19" t="s">
        <v>141</v>
      </c>
      <c r="I45" s="19" t="s">
        <v>142</v>
      </c>
      <c r="J45" s="19" t="s">
        <v>143</v>
      </c>
      <c r="K45" s="19" t="s">
        <v>144</v>
      </c>
      <c r="L45" s="19" t="s">
        <v>145</v>
      </c>
      <c r="M45" s="19" t="s">
        <v>146</v>
      </c>
      <c r="N45" s="19" t="s">
        <v>147</v>
      </c>
      <c r="O45" s="19" t="s">
        <v>148</v>
      </c>
    </row>
    <row r="46" customFormat="false" ht="15" hidden="false" customHeight="false" outlineLevel="0" collapsed="false">
      <c r="A46" s="2" t="s">
        <v>149</v>
      </c>
      <c r="B46" s="35" t="n">
        <f aca="false">Assumptions!$B$36</f>
        <v>3</v>
      </c>
      <c r="C46" s="35" t="n">
        <f aca="false">Assumptions!$B$36</f>
        <v>3</v>
      </c>
      <c r="D46" s="35" t="n">
        <f aca="false">Assumptions!$B$36+1</f>
        <v>4</v>
      </c>
      <c r="E46" s="35" t="n">
        <f aca="false">Assumptions!$B$36+1</f>
        <v>4</v>
      </c>
      <c r="F46" s="35" t="n">
        <f aca="false">Assumptions!$B$36+1</f>
        <v>4</v>
      </c>
      <c r="G46" s="35" t="n">
        <f aca="false">Assumptions!$B$36+1</f>
        <v>4</v>
      </c>
      <c r="H46" s="35" t="n">
        <f aca="false">Assumptions!$B$36+1</f>
        <v>4</v>
      </c>
      <c r="I46" s="35" t="n">
        <f aca="false">Assumptions!$B$36+1</f>
        <v>4</v>
      </c>
      <c r="J46" s="35" t="n">
        <f aca="false">Assumptions!$B$36+1</f>
        <v>4</v>
      </c>
      <c r="K46" s="35" t="n">
        <f aca="false">Assumptions!$B$36+1</f>
        <v>4</v>
      </c>
      <c r="L46" s="35" t="n">
        <f aca="false">Assumptions!$B$36+1</f>
        <v>4</v>
      </c>
      <c r="M46" s="35" t="n">
        <f aca="false">Assumptions!$B$36+1</f>
        <v>4</v>
      </c>
      <c r="N46" s="35" t="n">
        <f aca="false">Assumptions!$B$36+1</f>
        <v>4</v>
      </c>
      <c r="O46" s="6"/>
    </row>
    <row r="47" customFormat="false" ht="15" hidden="false" customHeight="false" outlineLevel="0" collapsed="false">
      <c r="A47" s="2" t="s">
        <v>150</v>
      </c>
      <c r="B47" s="9" t="n">
        <v>0</v>
      </c>
      <c r="C47" s="9" t="n">
        <v>1</v>
      </c>
      <c r="D47" s="9" t="n">
        <v>1</v>
      </c>
      <c r="E47" s="9" t="n">
        <v>1</v>
      </c>
      <c r="F47" s="9" t="n">
        <v>1</v>
      </c>
      <c r="G47" s="9" t="n">
        <v>1</v>
      </c>
      <c r="H47" s="9" t="n">
        <v>1</v>
      </c>
      <c r="I47" s="9" t="n">
        <v>1</v>
      </c>
      <c r="J47" s="9" t="n">
        <v>1</v>
      </c>
      <c r="K47" s="9" t="n">
        <v>1</v>
      </c>
      <c r="L47" s="9" t="n">
        <v>1</v>
      </c>
      <c r="M47" s="9" t="n">
        <v>1</v>
      </c>
      <c r="N47" s="9" t="n">
        <v>1</v>
      </c>
      <c r="O47" s="6"/>
    </row>
    <row r="48" customFormat="false" ht="15" hidden="false" customHeight="false" outlineLevel="0" collapsed="false">
      <c r="A48" s="2" t="s">
        <v>151</v>
      </c>
      <c r="B48" s="35" t="n">
        <f aca="false">Assumptions!$B$32</f>
        <v>20</v>
      </c>
      <c r="C48" s="35" t="n">
        <f aca="false">Assumptions!$B$32</f>
        <v>20</v>
      </c>
      <c r="D48" s="35" t="n">
        <f aca="false">Assumptions!$B$32</f>
        <v>20</v>
      </c>
      <c r="E48" s="35" t="n">
        <f aca="false">Assumptions!$B$32+Assumptions!$B$33</f>
        <v>40</v>
      </c>
      <c r="F48" s="35" t="n">
        <f aca="false">Assumptions!$B$32+Assumptions!$B$33</f>
        <v>40</v>
      </c>
      <c r="G48" s="35" t="n">
        <f aca="false">Assumptions!$B$32+Assumptions!$B$33</f>
        <v>40</v>
      </c>
      <c r="H48" s="35" t="n">
        <f aca="false">Assumptions!$B$32+Assumptions!$B$33</f>
        <v>40</v>
      </c>
      <c r="I48" s="35" t="n">
        <f aca="false">Assumptions!$B$32+Assumptions!$B$33</f>
        <v>40</v>
      </c>
      <c r="J48" s="35" t="n">
        <f aca="false">Assumptions!$B$32+Assumptions!$B$33</f>
        <v>40</v>
      </c>
      <c r="K48" s="35" t="n">
        <f aca="false">Assumptions!$B$32+Assumptions!$B$33</f>
        <v>40</v>
      </c>
      <c r="L48" s="35" t="n">
        <f aca="false">Assumptions!$B$32+Assumptions!$B$33</f>
        <v>40</v>
      </c>
      <c r="M48" s="35" t="n">
        <f aca="false">Assumptions!$B$32+Assumptions!$B$33</f>
        <v>40</v>
      </c>
      <c r="N48" s="35" t="n">
        <f aca="false">Assumptions!$B$32+Assumptions!$B$33</f>
        <v>40</v>
      </c>
      <c r="O48" s="6"/>
    </row>
    <row r="49" customFormat="false" ht="15" hidden="false" customHeight="false" outlineLevel="0" collapsed="false">
      <c r="A49" s="2" t="s">
        <v>152</v>
      </c>
      <c r="B49" s="23" t="n">
        <f aca="false">Assumptions!$B$56*SUM('Purse Schedule'!$D$4:$F$4)</f>
        <v>140</v>
      </c>
      <c r="C49" s="23" t="n">
        <f aca="false">Assumptions!$B$56*SUM('Purse Schedule'!$D$5:$F$5)</f>
        <v>140</v>
      </c>
      <c r="D49" s="23" t="n">
        <f aca="false">Assumptions!$B$56*SUM('Purse Schedule'!$D$6:$F$6)</f>
        <v>140</v>
      </c>
      <c r="E49" s="23" t="n">
        <f aca="false">Assumptions!$B$56*SUM('Purse Schedule'!$D$7:$F$7)</f>
        <v>350</v>
      </c>
      <c r="F49" s="23" t="n">
        <f aca="false">Assumptions!$B$56*SUM('Purse Schedule'!$D$8:$F$8)</f>
        <v>140</v>
      </c>
      <c r="G49" s="23" t="n">
        <f aca="false">Assumptions!$B$56*SUM('Purse Schedule'!$D$9:$F$9)</f>
        <v>140</v>
      </c>
      <c r="H49" s="23" t="n">
        <f aca="false">Assumptions!$B$56*SUM('Purse Schedule'!$D$10:$F$10)</f>
        <v>350</v>
      </c>
      <c r="I49" s="23" t="n">
        <f aca="false">Assumptions!$B$56*SUM('Purse Schedule'!$D$11:$F$11)</f>
        <v>140</v>
      </c>
      <c r="J49" s="23" t="n">
        <f aca="false">Assumptions!$B$56*SUM('Purse Schedule'!$D$12:$F$12)</f>
        <v>140</v>
      </c>
      <c r="K49" s="23" t="n">
        <f aca="false">Assumptions!$B$56*SUM('Purse Schedule'!$D$13:$F$13)</f>
        <v>350</v>
      </c>
      <c r="L49" s="23" t="n">
        <f aca="false">Assumptions!$B$56*SUM('Purse Schedule'!$D$14:$F$14)</f>
        <v>140</v>
      </c>
      <c r="M49" s="23" t="n">
        <f aca="false">Assumptions!$B$56*SUM('Purse Schedule'!$D$15:$F$15)</f>
        <v>140</v>
      </c>
      <c r="N49" s="23" t="n">
        <f aca="false">Assumptions!$B$56*SUM('Purse Schedule'!$D$16:$F$16)</f>
        <v>560</v>
      </c>
      <c r="O49" s="36" t="n">
        <f aca="false">SUM(B49:N49)</f>
        <v>2870</v>
      </c>
    </row>
    <row r="50" customFormat="false" ht="15" hidden="false" customHeight="false" outlineLevel="0" collapsed="false">
      <c r="A50" s="2" t="s">
        <v>153</v>
      </c>
      <c r="B50" s="23" t="n">
        <f aca="false">Assumptions!$C$56*SUM('Purse Schedule'!$G$4:$I$4)</f>
        <v>652.5</v>
      </c>
      <c r="C50" s="23" t="n">
        <f aca="false">Assumptions!$C$56*SUM('Purse Schedule'!$G$5:$I$5)</f>
        <v>652.5</v>
      </c>
      <c r="D50" s="23" t="n">
        <f aca="false">Assumptions!$C$56*SUM('Purse Schedule'!$G$6:$I$6)</f>
        <v>652.5</v>
      </c>
      <c r="E50" s="23" t="n">
        <f aca="false">Assumptions!$C$56*SUM('Purse Schedule'!$G$7:$I$7)</f>
        <v>1631.25</v>
      </c>
      <c r="F50" s="23" t="n">
        <f aca="false">Assumptions!$C$56*SUM('Purse Schedule'!$G$8:$I$8)</f>
        <v>652.5</v>
      </c>
      <c r="G50" s="23" t="n">
        <f aca="false">Assumptions!$C$56*SUM('Purse Schedule'!$G$9:$I$9)</f>
        <v>652.5</v>
      </c>
      <c r="H50" s="23" t="n">
        <f aca="false">Assumptions!$C$56*SUM('Purse Schedule'!$G$10:$I$10)</f>
        <v>1631.25</v>
      </c>
      <c r="I50" s="23" t="n">
        <f aca="false">Assumptions!$C$56*SUM('Purse Schedule'!$G$11:$I$11)</f>
        <v>652.5</v>
      </c>
      <c r="J50" s="23" t="n">
        <f aca="false">Assumptions!$C$56*SUM('Purse Schedule'!$G$12:$I$12)</f>
        <v>652.5</v>
      </c>
      <c r="K50" s="23" t="n">
        <f aca="false">Assumptions!$C$56*SUM('Purse Schedule'!$G$13:$I$13)</f>
        <v>1631.25</v>
      </c>
      <c r="L50" s="23" t="n">
        <f aca="false">Assumptions!$C$56*SUM('Purse Schedule'!$G$14:$I$14)</f>
        <v>652.5</v>
      </c>
      <c r="M50" s="23" t="n">
        <f aca="false">Assumptions!$C$56*SUM('Purse Schedule'!$G$15:$I$15)</f>
        <v>652.5</v>
      </c>
      <c r="N50" s="23" t="n">
        <f aca="false">Assumptions!$C$56*SUM('Purse Schedule'!$G$16:$I$16)</f>
        <v>2610</v>
      </c>
      <c r="O50" s="36" t="n">
        <f aca="false">SUM(B50:N50)</f>
        <v>13376.25</v>
      </c>
    </row>
    <row r="51" customFormat="false" ht="15" hidden="false" customHeight="false" outlineLevel="0" collapsed="false">
      <c r="A51" s="2" t="s">
        <v>154</v>
      </c>
      <c r="B51" s="23" t="n">
        <f aca="false">Assumptions!$D$56*SUM('Purse Schedule'!$J$4:$L$4)</f>
        <v>2100</v>
      </c>
      <c r="C51" s="23" t="n">
        <f aca="false">Assumptions!$D$56*SUM('Purse Schedule'!$J$5:$L$5)</f>
        <v>2100</v>
      </c>
      <c r="D51" s="23" t="n">
        <f aca="false">Assumptions!$D$56*SUM('Purse Schedule'!$J$6:$L$6)</f>
        <v>2100</v>
      </c>
      <c r="E51" s="23" t="n">
        <f aca="false">Assumptions!$D$56*SUM('Purse Schedule'!$J$7:$L$7)</f>
        <v>5250</v>
      </c>
      <c r="F51" s="23" t="n">
        <f aca="false">Assumptions!$D$56*SUM('Purse Schedule'!$J$8:$L$8)</f>
        <v>2100</v>
      </c>
      <c r="G51" s="23" t="n">
        <f aca="false">Assumptions!$D$56*SUM('Purse Schedule'!$J$9:$L$9)</f>
        <v>2100</v>
      </c>
      <c r="H51" s="23" t="n">
        <f aca="false">Assumptions!$D$56*SUM('Purse Schedule'!$J$10:$L$10)</f>
        <v>5250</v>
      </c>
      <c r="I51" s="23" t="n">
        <f aca="false">Assumptions!$D$56*SUM('Purse Schedule'!$J$11:$L$11)</f>
        <v>2100</v>
      </c>
      <c r="J51" s="23" t="n">
        <f aca="false">Assumptions!$D$56*SUM('Purse Schedule'!$J$12:$L$12)</f>
        <v>2100</v>
      </c>
      <c r="K51" s="23" t="n">
        <f aca="false">Assumptions!$D$56*SUM('Purse Schedule'!$J$13:$L$13)</f>
        <v>5250</v>
      </c>
      <c r="L51" s="23" t="n">
        <f aca="false">Assumptions!$D$56*SUM('Purse Schedule'!$J$14:$L$14)</f>
        <v>2100</v>
      </c>
      <c r="M51" s="23" t="n">
        <f aca="false">Assumptions!$D$56*SUM('Purse Schedule'!$J$15:$L$15)</f>
        <v>2100</v>
      </c>
      <c r="N51" s="23" t="n">
        <f aca="false">Assumptions!$D$56*SUM('Purse Schedule'!$J$16:$L$16)</f>
        <v>8400</v>
      </c>
      <c r="O51" s="36" t="n">
        <f aca="false">SUM(B51:N51)</f>
        <v>43050</v>
      </c>
    </row>
    <row r="52" customFormat="false" ht="15" hidden="false" customHeight="false" outlineLevel="0" collapsed="false">
      <c r="A52" s="2" t="s">
        <v>155</v>
      </c>
      <c r="B52" s="23" t="n">
        <f aca="false">(B48-B46*Assumptions!$B$24)*Assumptions!$B$31</f>
        <v>765</v>
      </c>
      <c r="C52" s="23" t="n">
        <f aca="false">(C48-C46*Assumptions!$B$24)*Assumptions!$B$31</f>
        <v>765</v>
      </c>
      <c r="D52" s="23" t="n">
        <f aca="false">(D48-D46*Assumptions!$B$24)*Assumptions!$B$31</f>
        <v>720</v>
      </c>
      <c r="E52" s="23" t="n">
        <f aca="false">(E48-E46*Assumptions!$B$24)*Assumptions!$B$31</f>
        <v>1620</v>
      </c>
      <c r="F52" s="23" t="n">
        <f aca="false">(F48-F46*Assumptions!$B$24)*Assumptions!$B$31</f>
        <v>1620</v>
      </c>
      <c r="G52" s="23" t="n">
        <f aca="false">(G48-G46*Assumptions!$B$24)*Assumptions!$B$31</f>
        <v>1620</v>
      </c>
      <c r="H52" s="23" t="n">
        <f aca="false">(H48-H46*Assumptions!$B$24)*Assumptions!$B$31</f>
        <v>1620</v>
      </c>
      <c r="I52" s="23" t="n">
        <f aca="false">(I48-I46*Assumptions!$B$24)*Assumptions!$B$31</f>
        <v>1620</v>
      </c>
      <c r="J52" s="23" t="n">
        <f aca="false">(J48-J46*Assumptions!$B$24)*Assumptions!$B$31</f>
        <v>1620</v>
      </c>
      <c r="K52" s="23" t="n">
        <f aca="false">(K48-K46*Assumptions!$B$24)*Assumptions!$B$31</f>
        <v>1620</v>
      </c>
      <c r="L52" s="23" t="n">
        <f aca="false">(L48-L46*Assumptions!$B$24)*Assumptions!$B$31</f>
        <v>1620</v>
      </c>
      <c r="M52" s="23" t="n">
        <f aca="false">(M48-M46*Assumptions!$B$24)*Assumptions!$B$31</f>
        <v>1620</v>
      </c>
      <c r="N52" s="23" t="n">
        <f aca="false">(N48-N46*Assumptions!$B$24)*Assumptions!$B$31</f>
        <v>1620</v>
      </c>
      <c r="O52" s="36" t="n">
        <f aca="false">SUM(B52:N52)</f>
        <v>18450</v>
      </c>
    </row>
    <row r="53" customFormat="false" ht="15" hidden="false" customHeight="false" outlineLevel="0" collapsed="false">
      <c r="A53" s="3" t="s">
        <v>156</v>
      </c>
      <c r="B53" s="36" t="n">
        <f aca="false">SUM(B49:B52)</f>
        <v>3657.5</v>
      </c>
      <c r="C53" s="36" t="n">
        <f aca="false">SUM(C49:C52)</f>
        <v>3657.5</v>
      </c>
      <c r="D53" s="36" t="n">
        <f aca="false">SUM(D49:D52)</f>
        <v>3612.5</v>
      </c>
      <c r="E53" s="36" t="n">
        <f aca="false">SUM(E49:E52)</f>
        <v>8851.25</v>
      </c>
      <c r="F53" s="36" t="n">
        <f aca="false">SUM(F49:F52)</f>
        <v>4512.5</v>
      </c>
      <c r="G53" s="36" t="n">
        <f aca="false">SUM(G49:G52)</f>
        <v>4512.5</v>
      </c>
      <c r="H53" s="36" t="n">
        <f aca="false">SUM(H49:H52)</f>
        <v>8851.25</v>
      </c>
      <c r="I53" s="36" t="n">
        <f aca="false">SUM(I49:I52)</f>
        <v>4512.5</v>
      </c>
      <c r="J53" s="36" t="n">
        <f aca="false">SUM(J49:J52)</f>
        <v>4512.5</v>
      </c>
      <c r="K53" s="36" t="n">
        <f aca="false">SUM(K49:K52)</f>
        <v>8851.25</v>
      </c>
      <c r="L53" s="36" t="n">
        <f aca="false">SUM(L49:L52)</f>
        <v>4512.5</v>
      </c>
      <c r="M53" s="36" t="n">
        <f aca="false">SUM(M49:M52)</f>
        <v>4512.5</v>
      </c>
      <c r="N53" s="36" t="n">
        <f aca="false">SUM(N49:N52)</f>
        <v>13190</v>
      </c>
      <c r="O53" s="36" t="n">
        <f aca="false">SUM(B53:N53)</f>
        <v>77746.25</v>
      </c>
    </row>
    <row r="54" customFormat="false" ht="15" hidden="false" customHeight="false" outlineLevel="0" collapsed="false">
      <c r="A54" s="2" t="s">
        <v>157</v>
      </c>
      <c r="B54" s="23" t="n">
        <f aca="false">-B46*Assumptions!$B$23</f>
        <v>-450</v>
      </c>
      <c r="C54" s="23" t="n">
        <f aca="false">-C46*Assumptions!$B$23</f>
        <v>-450</v>
      </c>
      <c r="D54" s="23" t="n">
        <f aca="false">-D46*Assumptions!$B$23</f>
        <v>-600</v>
      </c>
      <c r="E54" s="23" t="n">
        <f aca="false">-E46*Assumptions!$B$23</f>
        <v>-600</v>
      </c>
      <c r="F54" s="23" t="n">
        <f aca="false">-F46*Assumptions!$B$23</f>
        <v>-600</v>
      </c>
      <c r="G54" s="23" t="n">
        <f aca="false">-G46*Assumptions!$B$23</f>
        <v>-600</v>
      </c>
      <c r="H54" s="23" t="n">
        <f aca="false">-H46*Assumptions!$B$23</f>
        <v>-600</v>
      </c>
      <c r="I54" s="23" t="n">
        <f aca="false">-I46*Assumptions!$B$23</f>
        <v>-600</v>
      </c>
      <c r="J54" s="23" t="n">
        <f aca="false">-J46*Assumptions!$B$23</f>
        <v>-600</v>
      </c>
      <c r="K54" s="23" t="n">
        <f aca="false">-K46*Assumptions!$B$23</f>
        <v>-600</v>
      </c>
      <c r="L54" s="23" t="n">
        <f aca="false">-L46*Assumptions!$B$23</f>
        <v>-600</v>
      </c>
      <c r="M54" s="23" t="n">
        <f aca="false">-M46*Assumptions!$B$23</f>
        <v>-600</v>
      </c>
      <c r="N54" s="23" t="n">
        <f aca="false">-N46*Assumptions!$B$23</f>
        <v>-600</v>
      </c>
      <c r="O54" s="36" t="n">
        <f aca="false">SUM(B54:N54)</f>
        <v>-7500</v>
      </c>
    </row>
    <row r="55" customFormat="false" ht="15" hidden="false" customHeight="false" outlineLevel="0" collapsed="false">
      <c r="A55" s="2" t="s">
        <v>158</v>
      </c>
      <c r="B55" s="23" t="n">
        <f aca="false">-B46*Assumptions!$B$24*(Assumptions!$B$29+Assumptions!$B$30)/2</f>
        <v>-270</v>
      </c>
      <c r="C55" s="23" t="n">
        <f aca="false">-C46*Assumptions!$B$24*(Assumptions!$B$29+Assumptions!$B$30)/2</f>
        <v>-270</v>
      </c>
      <c r="D55" s="23" t="n">
        <f aca="false">-D46*Assumptions!$B$24*(Assumptions!$B$29+Assumptions!$B$30)/2</f>
        <v>-360</v>
      </c>
      <c r="E55" s="23" t="n">
        <f aca="false">-E46*Assumptions!$B$24*(Assumptions!$B$29+Assumptions!$B$30)/2</f>
        <v>-360</v>
      </c>
      <c r="F55" s="23" t="n">
        <f aca="false">-F46*Assumptions!$B$24*(Assumptions!$B$29+Assumptions!$B$30)/2</f>
        <v>-360</v>
      </c>
      <c r="G55" s="23" t="n">
        <f aca="false">-G46*Assumptions!$B$24*(Assumptions!$B$29+Assumptions!$B$30)/2</f>
        <v>-360</v>
      </c>
      <c r="H55" s="23" t="n">
        <f aca="false">-H46*Assumptions!$B$24*(Assumptions!$B$29+Assumptions!$B$30)/2</f>
        <v>-360</v>
      </c>
      <c r="I55" s="23" t="n">
        <f aca="false">-I46*Assumptions!$B$24*(Assumptions!$B$29+Assumptions!$B$30)/2</f>
        <v>-360</v>
      </c>
      <c r="J55" s="23" t="n">
        <f aca="false">-J46*Assumptions!$B$24*(Assumptions!$B$29+Assumptions!$B$30)/2</f>
        <v>-360</v>
      </c>
      <c r="K55" s="23" t="n">
        <f aca="false">-K46*Assumptions!$B$24*(Assumptions!$B$29+Assumptions!$B$30)/2</f>
        <v>-360</v>
      </c>
      <c r="L55" s="23" t="n">
        <f aca="false">-L46*Assumptions!$B$24*(Assumptions!$B$29+Assumptions!$B$30)/2</f>
        <v>-360</v>
      </c>
      <c r="M55" s="23" t="n">
        <f aca="false">-M46*Assumptions!$B$24*(Assumptions!$B$29+Assumptions!$B$30)/2</f>
        <v>-360</v>
      </c>
      <c r="N55" s="23" t="n">
        <f aca="false">-N46*Assumptions!$B$24*(Assumptions!$B$29+Assumptions!$B$30)/2</f>
        <v>-360</v>
      </c>
      <c r="O55" s="36" t="n">
        <f aca="false">SUM(B55:N55)</f>
        <v>-4500</v>
      </c>
    </row>
    <row r="56" customFormat="false" ht="15" hidden="false" customHeight="false" outlineLevel="0" collapsed="false">
      <c r="A56" s="2" t="s">
        <v>159</v>
      </c>
      <c r="B56" s="23" t="n">
        <f aca="false">-Assumptions!$B$25</f>
        <v>-250</v>
      </c>
      <c r="C56" s="23" t="n">
        <f aca="false">-Assumptions!$B$25</f>
        <v>-250</v>
      </c>
      <c r="D56" s="23" t="n">
        <f aca="false">-Assumptions!$B$25</f>
        <v>-250</v>
      </c>
      <c r="E56" s="23" t="n">
        <f aca="false">-Assumptions!$B$25</f>
        <v>-250</v>
      </c>
      <c r="F56" s="23" t="n">
        <f aca="false">-Assumptions!$B$25</f>
        <v>-250</v>
      </c>
      <c r="G56" s="23" t="n">
        <f aca="false">-Assumptions!$B$25</f>
        <v>-250</v>
      </c>
      <c r="H56" s="23" t="n">
        <f aca="false">-Assumptions!$B$25</f>
        <v>-250</v>
      </c>
      <c r="I56" s="23" t="n">
        <f aca="false">-Assumptions!$B$25</f>
        <v>-250</v>
      </c>
      <c r="J56" s="23" t="n">
        <f aca="false">-Assumptions!$B$25</f>
        <v>-250</v>
      </c>
      <c r="K56" s="23" t="n">
        <f aca="false">-Assumptions!$B$25</f>
        <v>-250</v>
      </c>
      <c r="L56" s="23" t="n">
        <f aca="false">-Assumptions!$B$25</f>
        <v>-250</v>
      </c>
      <c r="M56" s="23" t="n">
        <f aca="false">-Assumptions!$B$25</f>
        <v>-250</v>
      </c>
      <c r="N56" s="23" t="n">
        <f aca="false">-Assumptions!$B$25</f>
        <v>-250</v>
      </c>
      <c r="O56" s="36" t="n">
        <f aca="false">SUM(B56:N56)</f>
        <v>-3250</v>
      </c>
    </row>
    <row r="57" customFormat="false" ht="15" hidden="false" customHeight="false" outlineLevel="0" collapsed="false">
      <c r="A57" s="2" t="s">
        <v>160</v>
      </c>
      <c r="B57" s="23" t="n">
        <f aca="false">-B47*Assumptions!$B$26</f>
        <v>-0</v>
      </c>
      <c r="C57" s="23" t="n">
        <f aca="false">-C47*Assumptions!$B$26</f>
        <v>-400</v>
      </c>
      <c r="D57" s="23" t="n">
        <f aca="false">-D47*Assumptions!$B$26</f>
        <v>-400</v>
      </c>
      <c r="E57" s="23" t="n">
        <f aca="false">-E47*Assumptions!$B$26</f>
        <v>-400</v>
      </c>
      <c r="F57" s="23" t="n">
        <f aca="false">-F47*Assumptions!$B$26</f>
        <v>-400</v>
      </c>
      <c r="G57" s="23" t="n">
        <f aca="false">-G47*Assumptions!$B$26</f>
        <v>-400</v>
      </c>
      <c r="H57" s="23" t="n">
        <f aca="false">-H47*Assumptions!$B$26</f>
        <v>-400</v>
      </c>
      <c r="I57" s="23" t="n">
        <f aca="false">-I47*Assumptions!$B$26</f>
        <v>-400</v>
      </c>
      <c r="J57" s="23" t="n">
        <f aca="false">-J47*Assumptions!$B$26</f>
        <v>-400</v>
      </c>
      <c r="K57" s="23" t="n">
        <f aca="false">-K47*Assumptions!$B$26</f>
        <v>-400</v>
      </c>
      <c r="L57" s="23" t="n">
        <f aca="false">-L47*Assumptions!$B$26</f>
        <v>-400</v>
      </c>
      <c r="M57" s="23" t="n">
        <f aca="false">-M47*Assumptions!$B$26</f>
        <v>-400</v>
      </c>
      <c r="N57" s="23" t="n">
        <f aca="false">-N47*Assumptions!$B$26</f>
        <v>-400</v>
      </c>
      <c r="O57" s="36" t="n">
        <f aca="false">SUM(B57:N57)</f>
        <v>-4800</v>
      </c>
    </row>
    <row r="58" customFormat="false" ht="15" hidden="false" customHeight="false" outlineLevel="0" collapsed="false">
      <c r="A58" s="3" t="s">
        <v>161</v>
      </c>
      <c r="B58" s="36" t="n">
        <f aca="false">SUM(B54:B57)</f>
        <v>-970</v>
      </c>
      <c r="C58" s="36" t="n">
        <f aca="false">SUM(C54:C57)</f>
        <v>-1370</v>
      </c>
      <c r="D58" s="36" t="n">
        <f aca="false">SUM(D54:D57)</f>
        <v>-1610</v>
      </c>
      <c r="E58" s="36" t="n">
        <f aca="false">SUM(E54:E57)</f>
        <v>-1610</v>
      </c>
      <c r="F58" s="36" t="n">
        <f aca="false">SUM(F54:F57)</f>
        <v>-1610</v>
      </c>
      <c r="G58" s="36" t="n">
        <f aca="false">SUM(G54:G57)</f>
        <v>-1610</v>
      </c>
      <c r="H58" s="36" t="n">
        <f aca="false">SUM(H54:H57)</f>
        <v>-1610</v>
      </c>
      <c r="I58" s="36" t="n">
        <f aca="false">SUM(I54:I57)</f>
        <v>-1610</v>
      </c>
      <c r="J58" s="36" t="n">
        <f aca="false">SUM(J54:J57)</f>
        <v>-1610</v>
      </c>
      <c r="K58" s="36" t="n">
        <f aca="false">SUM(K54:K57)</f>
        <v>-1610</v>
      </c>
      <c r="L58" s="36" t="n">
        <f aca="false">SUM(L54:L57)</f>
        <v>-1610</v>
      </c>
      <c r="M58" s="36" t="n">
        <f aca="false">SUM(M54:M57)</f>
        <v>-1610</v>
      </c>
      <c r="N58" s="36" t="n">
        <f aca="false">SUM(N54:N57)</f>
        <v>-1610</v>
      </c>
      <c r="O58" s="36" t="n">
        <f aca="false">SUM(B58:N58)</f>
        <v>-20050</v>
      </c>
    </row>
    <row r="59" customFormat="false" ht="15" hidden="false" customHeight="false" outlineLevel="0" collapsed="false">
      <c r="A59" s="3" t="s">
        <v>162</v>
      </c>
      <c r="B59" s="36" t="n">
        <f aca="false">B53+B58</f>
        <v>2687.5</v>
      </c>
      <c r="C59" s="36" t="n">
        <f aca="false">C53+C58</f>
        <v>2287.5</v>
      </c>
      <c r="D59" s="36" t="n">
        <f aca="false">D53+D58</f>
        <v>2002.5</v>
      </c>
      <c r="E59" s="36" t="n">
        <f aca="false">E53+E58</f>
        <v>7241.25</v>
      </c>
      <c r="F59" s="36" t="n">
        <f aca="false">F53+F58</f>
        <v>2902.5</v>
      </c>
      <c r="G59" s="36" t="n">
        <f aca="false">G53+G58</f>
        <v>2902.5</v>
      </c>
      <c r="H59" s="36" t="n">
        <f aca="false">H53+H58</f>
        <v>7241.25</v>
      </c>
      <c r="I59" s="36" t="n">
        <f aca="false">I53+I58</f>
        <v>2902.5</v>
      </c>
      <c r="J59" s="36" t="n">
        <f aca="false">J53+J58</f>
        <v>2902.5</v>
      </c>
      <c r="K59" s="36" t="n">
        <f aca="false">K53+K58</f>
        <v>7241.25</v>
      </c>
      <c r="L59" s="36" t="n">
        <f aca="false">L53+L58</f>
        <v>2902.5</v>
      </c>
      <c r="M59" s="36" t="n">
        <f aca="false">M53+M58</f>
        <v>2902.5</v>
      </c>
      <c r="N59" s="36" t="n">
        <f aca="false">N53+N58</f>
        <v>11580</v>
      </c>
      <c r="O59" s="36" t="n">
        <f aca="false">SUM(B59:N59)</f>
        <v>57696.25</v>
      </c>
    </row>
    <row r="60" customFormat="false" ht="15" hidden="false" customHeight="false" outlineLevel="0" collapsed="false">
      <c r="A60" s="3" t="s">
        <v>163</v>
      </c>
      <c r="B60" s="36" t="n">
        <f aca="false">Assumptions!$B$35+B59</f>
        <v>8687.5</v>
      </c>
      <c r="C60" s="36" t="n">
        <f aca="false">B60+C59</f>
        <v>10975</v>
      </c>
      <c r="D60" s="36" t="n">
        <f aca="false">C60+D59</f>
        <v>12977.5</v>
      </c>
      <c r="E60" s="36" t="n">
        <f aca="false">D60+E59</f>
        <v>20218.75</v>
      </c>
      <c r="F60" s="36" t="n">
        <f aca="false">E60+F59</f>
        <v>23121.25</v>
      </c>
      <c r="G60" s="36" t="n">
        <f aca="false">F60+G59</f>
        <v>26023.75</v>
      </c>
      <c r="H60" s="36" t="n">
        <f aca="false">G60+H59</f>
        <v>33265</v>
      </c>
      <c r="I60" s="36" t="n">
        <f aca="false">H60+I59</f>
        <v>36167.5</v>
      </c>
      <c r="J60" s="36" t="n">
        <f aca="false">I60+J59</f>
        <v>39070</v>
      </c>
      <c r="K60" s="36" t="n">
        <f aca="false">J60+K59</f>
        <v>46311.25</v>
      </c>
      <c r="L60" s="36" t="n">
        <f aca="false">K60+L59</f>
        <v>49213.75</v>
      </c>
      <c r="M60" s="36" t="n">
        <f aca="false">L60+M59</f>
        <v>52116.25</v>
      </c>
      <c r="N60" s="36" t="n">
        <f aca="false">M60+N59</f>
        <v>63696.25</v>
      </c>
      <c r="O60" s="36" t="n">
        <f aca="false">N60</f>
        <v>63696.25</v>
      </c>
    </row>
    <row r="61" customFormat="false" ht="15" hidden="false" customHeight="false" outlineLevel="0" collapsed="false">
      <c r="A61" s="2" t="s">
        <v>164</v>
      </c>
      <c r="B61" s="37" t="n">
        <f aca="false">IF(B53=0,0,-B58/B53)</f>
        <v>0.265208475734792</v>
      </c>
      <c r="C61" s="37" t="n">
        <f aca="false">IF(C53=0,0,-C58/C53)</f>
        <v>0.374572795625427</v>
      </c>
      <c r="D61" s="37" t="n">
        <f aca="false">IF(D53=0,0,-D58/D53)</f>
        <v>0.445674740484429</v>
      </c>
      <c r="E61" s="37" t="n">
        <f aca="false">IF(E53=0,0,-E58/E53)</f>
        <v>0.181895212540602</v>
      </c>
      <c r="F61" s="37" t="n">
        <f aca="false">IF(F53=0,0,-F58/F53)</f>
        <v>0.356786703601108</v>
      </c>
      <c r="G61" s="37" t="n">
        <f aca="false">IF(G53=0,0,-G58/G53)</f>
        <v>0.356786703601108</v>
      </c>
      <c r="H61" s="37" t="n">
        <f aca="false">IF(H53=0,0,-H58/H53)</f>
        <v>0.181895212540602</v>
      </c>
      <c r="I61" s="37" t="n">
        <f aca="false">IF(I53=0,0,-I58/I53)</f>
        <v>0.356786703601108</v>
      </c>
      <c r="J61" s="37" t="n">
        <f aca="false">IF(J53=0,0,-J58/J53)</f>
        <v>0.356786703601108</v>
      </c>
      <c r="K61" s="37" t="n">
        <f aca="false">IF(K53=0,0,-K58/K53)</f>
        <v>0.181895212540602</v>
      </c>
      <c r="L61" s="37" t="n">
        <f aca="false">IF(L53=0,0,-L58/L53)</f>
        <v>0.356786703601108</v>
      </c>
      <c r="M61" s="37" t="n">
        <f aca="false">IF(M53=0,0,-M58/M53)</f>
        <v>0.356786703601108</v>
      </c>
      <c r="N61" s="37" t="n">
        <f aca="false">IF(N53=0,0,-N58/N53)</f>
        <v>0.122062168309325</v>
      </c>
      <c r="O61" s="38" t="n">
        <f aca="false">IF(O53=0,0,-O58/O53)</f>
        <v>0.257890251941412</v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</row>
    <row r="64" customFormat="false" ht="17.35" hidden="false" customHeight="false" outlineLevel="0" collapsed="false">
      <c r="A64" s="1" t="s">
        <v>165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</row>
    <row r="65" customFormat="false" ht="26.85" hidden="false" customHeight="false" outlineLevel="0" collapsed="false">
      <c r="A65" s="19" t="s">
        <v>93</v>
      </c>
      <c r="B65" s="19" t="s">
        <v>166</v>
      </c>
      <c r="C65" s="19" t="s">
        <v>167</v>
      </c>
      <c r="D65" s="19" t="s">
        <v>168</v>
      </c>
      <c r="E65" s="19" t="s">
        <v>169</v>
      </c>
      <c r="F65" s="19" t="s">
        <v>170</v>
      </c>
      <c r="G65" s="19" t="s">
        <v>171</v>
      </c>
      <c r="H65" s="6"/>
      <c r="I65" s="6"/>
      <c r="J65" s="6"/>
      <c r="K65" s="6"/>
      <c r="L65" s="6"/>
      <c r="M65" s="6"/>
      <c r="N65" s="6"/>
      <c r="O65" s="6"/>
    </row>
    <row r="66" customFormat="false" ht="15" hidden="false" customHeight="false" outlineLevel="0" collapsed="false">
      <c r="A66" s="32" t="s">
        <v>97</v>
      </c>
      <c r="B66" s="24" t="n">
        <f aca="false">N20</f>
        <v>38236.25</v>
      </c>
      <c r="C66" s="23" t="n">
        <f aca="false">'Dog Value'!$B$26</f>
        <v>22403.4</v>
      </c>
      <c r="D66" s="22" t="n">
        <f aca="false">IF(C66=0,0,B66/C66)</f>
        <v>1.70671639126204</v>
      </c>
      <c r="E66" s="24" t="n">
        <f aca="false">O13</f>
        <v>44846.25</v>
      </c>
      <c r="F66" s="24" t="n">
        <f aca="false">-O18</f>
        <v>12610</v>
      </c>
      <c r="G66" s="38" t="n">
        <f aca="false">IF(E66=0,0,F66/E66)</f>
        <v>0.281182930568331</v>
      </c>
      <c r="H66" s="6"/>
      <c r="I66" s="6"/>
      <c r="J66" s="6"/>
      <c r="K66" s="6"/>
      <c r="L66" s="6"/>
      <c r="M66" s="6"/>
      <c r="N66" s="6"/>
      <c r="O66" s="6"/>
    </row>
    <row r="67" customFormat="false" ht="15" hidden="false" customHeight="false" outlineLevel="0" collapsed="false">
      <c r="A67" s="32" t="s">
        <v>98</v>
      </c>
      <c r="B67" s="24" t="n">
        <f aca="false">N40</f>
        <v>41063.75</v>
      </c>
      <c r="C67" s="23" t="n">
        <f aca="false">'Dog Value'!$B$26</f>
        <v>22403.4</v>
      </c>
      <c r="D67" s="22" t="n">
        <f aca="false">IF(C67=0,0,B67/C67)</f>
        <v>1.83292491318282</v>
      </c>
      <c r="E67" s="24" t="n">
        <f aca="false">O33</f>
        <v>55113.75</v>
      </c>
      <c r="F67" s="24" t="n">
        <f aca="false">-O38</f>
        <v>20050</v>
      </c>
      <c r="G67" s="38" t="n">
        <f aca="false">IF(E67=0,0,F67/E67)</f>
        <v>0.363793064344197</v>
      </c>
      <c r="H67" s="6"/>
      <c r="I67" s="6"/>
      <c r="J67" s="6"/>
      <c r="K67" s="6"/>
      <c r="L67" s="6"/>
      <c r="M67" s="6"/>
      <c r="N67" s="6"/>
      <c r="O67" s="6"/>
    </row>
    <row r="68" customFormat="false" ht="15" hidden="false" customHeight="false" outlineLevel="0" collapsed="false">
      <c r="A68" s="32" t="s">
        <v>99</v>
      </c>
      <c r="B68" s="24" t="n">
        <f aca="false">N60</f>
        <v>63696.25</v>
      </c>
      <c r="C68" s="23" t="n">
        <f aca="false">'Dog Value'!$B$26</f>
        <v>22403.4</v>
      </c>
      <c r="D68" s="22" t="n">
        <f aca="false">IF(C68=0,0,B68/C68)</f>
        <v>2.84315103957435</v>
      </c>
      <c r="E68" s="24" t="n">
        <f aca="false">O53</f>
        <v>77746.25</v>
      </c>
      <c r="F68" s="24" t="n">
        <f aca="false">-O58</f>
        <v>20050</v>
      </c>
      <c r="G68" s="38" t="n">
        <f aca="false">IF(E68=0,0,F68/E68)</f>
        <v>0.257890251941412</v>
      </c>
      <c r="H68" s="6"/>
      <c r="I68" s="6"/>
      <c r="J68" s="6"/>
      <c r="K68" s="6"/>
      <c r="L68" s="6"/>
      <c r="M68" s="6"/>
      <c r="N68" s="6"/>
      <c r="O68" s="6"/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</row>
    <row r="70" customFormat="false" ht="15" hidden="false" customHeight="false" outlineLevel="0" collapsed="false">
      <c r="A70" s="8" t="s">
        <v>172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173</v>
      </c>
      <c r="B1" s="6"/>
      <c r="C1" s="6"/>
      <c r="D1" s="6"/>
      <c r="E1" s="6"/>
      <c r="F1" s="6"/>
      <c r="G1" s="6"/>
      <c r="H1" s="6"/>
    </row>
    <row r="2" customFormat="false" ht="15" hidden="false" customHeight="false" outlineLevel="0" collapsed="false">
      <c r="A2" s="8" t="s">
        <v>174</v>
      </c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  <c r="G3" s="6"/>
      <c r="H3" s="6"/>
    </row>
    <row r="4" customFormat="false" ht="26.85" hidden="false" customHeight="false" outlineLevel="0" collapsed="false">
      <c r="A4" s="19" t="s">
        <v>175</v>
      </c>
      <c r="B4" s="19" t="s">
        <v>176</v>
      </c>
      <c r="C4" s="19" t="s">
        <v>177</v>
      </c>
      <c r="D4" s="19" t="s">
        <v>178</v>
      </c>
      <c r="E4" s="19" t="s">
        <v>179</v>
      </c>
      <c r="F4" s="19" t="s">
        <v>180</v>
      </c>
      <c r="G4" s="19" t="s">
        <v>181</v>
      </c>
      <c r="H4" s="19" t="s">
        <v>182</v>
      </c>
    </row>
    <row r="5" customFormat="false" ht="15" hidden="false" customHeight="false" outlineLevel="0" collapsed="false">
      <c r="A5" s="20" t="s">
        <v>183</v>
      </c>
      <c r="B5" s="11" t="n">
        <v>0</v>
      </c>
      <c r="C5" s="23" t="n">
        <f aca="false">Assumptions!$B$26</f>
        <v>400</v>
      </c>
      <c r="D5" s="11" t="n">
        <v>900</v>
      </c>
      <c r="E5" s="24" t="n">
        <f aca="false">D5-C5</f>
        <v>500</v>
      </c>
      <c r="F5" s="39" t="n">
        <f aca="false">IF(E5&lt;=0,"never",IF(B5=0,0,B5/E5))</f>
        <v>0</v>
      </c>
      <c r="G5" s="40" t="n">
        <f aca="false">IF(E5&lt;=0,"n/a",MAX(0,Assumptions!$B$5-ROUNDUP(IF(B5=0,0,B5/E5),0)))</f>
        <v>13</v>
      </c>
      <c r="H5" s="41" t="s">
        <v>184</v>
      </c>
    </row>
    <row r="6" customFormat="false" ht="15" hidden="false" customHeight="false" outlineLevel="0" collapsed="false">
      <c r="A6" s="20" t="s">
        <v>185</v>
      </c>
      <c r="B6" s="11" t="n">
        <v>0</v>
      </c>
      <c r="C6" s="23" t="n">
        <f aca="false">Assumptions!$B$27</f>
        <v>300</v>
      </c>
      <c r="D6" s="11" t="n">
        <v>500</v>
      </c>
      <c r="E6" s="24" t="n">
        <f aca="false">D6-C6</f>
        <v>200</v>
      </c>
      <c r="F6" s="39" t="n">
        <f aca="false">IF(E6&lt;=0,"never",IF(B6=0,0,B6/E6))</f>
        <v>0</v>
      </c>
      <c r="G6" s="40" t="n">
        <f aca="false">IF(E6&lt;=0,"n/a",MAX(0,Assumptions!$B$5-ROUNDUP(IF(B6=0,0,B6/E6),0)))</f>
        <v>13</v>
      </c>
      <c r="H6" s="41" t="s">
        <v>186</v>
      </c>
    </row>
    <row r="7" customFormat="false" ht="15" hidden="false" customHeight="false" outlineLevel="0" collapsed="false">
      <c r="A7" s="20" t="s">
        <v>187</v>
      </c>
      <c r="B7" s="11" t="n">
        <v>2500</v>
      </c>
      <c r="C7" s="11" t="n">
        <v>0</v>
      </c>
      <c r="D7" s="23" t="n">
        <f aca="false">Assumptions!$B$33*Assumptions!$B$31</f>
        <v>900</v>
      </c>
      <c r="E7" s="24" t="n">
        <f aca="false">D7-C7</f>
        <v>900</v>
      </c>
      <c r="F7" s="39" t="n">
        <f aca="false">IF(E7&lt;=0,"never",IF(B7=0,0,B7/E7))</f>
        <v>2.77777777777778</v>
      </c>
      <c r="G7" s="40" t="n">
        <f aca="false">IF(E7&lt;=0,"n/a",MAX(0,Assumptions!$B$5-ROUNDUP(IF(B7=0,0,B7/E7),0)))</f>
        <v>10</v>
      </c>
      <c r="H7" s="41" t="s">
        <v>188</v>
      </c>
    </row>
    <row r="8" customFormat="false" ht="15" hidden="false" customHeight="false" outlineLevel="0" collapsed="false">
      <c r="A8" s="20" t="s">
        <v>189</v>
      </c>
      <c r="B8" s="11" t="n">
        <v>3000</v>
      </c>
      <c r="C8" s="11" t="n">
        <v>0</v>
      </c>
      <c r="D8" s="11" t="n">
        <v>400</v>
      </c>
      <c r="E8" s="24" t="n">
        <f aca="false">D8-C8</f>
        <v>400</v>
      </c>
      <c r="F8" s="39" t="n">
        <f aca="false">IF(E8&lt;=0,"never",IF(B8=0,0,B8/E8))</f>
        <v>7.5</v>
      </c>
      <c r="G8" s="40" t="n">
        <f aca="false">IF(E8&lt;=0,"n/a",MAX(0,Assumptions!$B$5-ROUNDUP(IF(B8=0,0,B8/E8),0)))</f>
        <v>5</v>
      </c>
      <c r="H8" s="41" t="s">
        <v>190</v>
      </c>
    </row>
    <row r="9" customFormat="false" ht="15" hidden="false" customHeight="false" outlineLevel="0" collapsed="false">
      <c r="A9" s="20" t="s">
        <v>191</v>
      </c>
      <c r="B9" s="11" t="n">
        <v>2000</v>
      </c>
      <c r="C9" s="23" t="n">
        <f aca="false">Assumptions!$B$23</f>
        <v>150</v>
      </c>
      <c r="D9" s="11" t="n">
        <v>700</v>
      </c>
      <c r="E9" s="24" t="n">
        <f aca="false">D9-C9</f>
        <v>550</v>
      </c>
      <c r="F9" s="39" t="n">
        <f aca="false">IF(E9&lt;=0,"never",IF(B9=0,0,B9/E9))</f>
        <v>3.63636363636364</v>
      </c>
      <c r="G9" s="40" t="n">
        <f aca="false">IF(E9&lt;=0,"n/a",MAX(0,Assumptions!$B$5-ROUNDUP(IF(B9=0,0,B9/E9),0)))</f>
        <v>9</v>
      </c>
      <c r="H9" s="41" t="s">
        <v>192</v>
      </c>
    </row>
    <row r="10" customFormat="false" ht="15" hidden="false" customHeight="false" outlineLevel="0" collapsed="false">
      <c r="A10" s="20" t="s">
        <v>193</v>
      </c>
      <c r="B10" s="11" t="n">
        <v>800</v>
      </c>
      <c r="C10" s="11" t="n">
        <v>0</v>
      </c>
      <c r="D10" s="11" t="n">
        <v>300</v>
      </c>
      <c r="E10" s="24" t="n">
        <f aca="false">D10-C10</f>
        <v>300</v>
      </c>
      <c r="F10" s="39" t="n">
        <f aca="false">IF(E10&lt;=0,"never",IF(B10=0,0,B10/E10))</f>
        <v>2.66666666666667</v>
      </c>
      <c r="G10" s="40" t="n">
        <f aca="false">IF(E10&lt;=0,"n/a",MAX(0,Assumptions!$B$5-ROUNDUP(IF(B10=0,0,B10/E10),0)))</f>
        <v>10</v>
      </c>
      <c r="H10" s="41" t="s">
        <v>194</v>
      </c>
    </row>
    <row r="11" customFormat="false" ht="15" hidden="false" customHeight="false" outlineLevel="0" collapsed="false">
      <c r="A11" s="20" t="s">
        <v>195</v>
      </c>
      <c r="B11" s="11" t="n">
        <v>400</v>
      </c>
      <c r="C11" s="11" t="n">
        <v>0</v>
      </c>
      <c r="D11" s="11" t="n">
        <v>600</v>
      </c>
      <c r="E11" s="24" t="n">
        <f aca="false">D11-C11</f>
        <v>600</v>
      </c>
      <c r="F11" s="39" t="n">
        <f aca="false">IF(E11&lt;=0,"never",IF(B11=0,0,B11/E11))</f>
        <v>0.666666666666667</v>
      </c>
      <c r="G11" s="40" t="n">
        <f aca="false">IF(E11&lt;=0,"n/a",MAX(0,Assumptions!$B$5-ROUNDUP(IF(B11=0,0,B11/E11),0)))</f>
        <v>12</v>
      </c>
      <c r="H11" s="41" t="s">
        <v>196</v>
      </c>
    </row>
    <row r="12" customFormat="false" ht="15" hidden="false" customHeight="false" outlineLevel="0" collapsed="false">
      <c r="A12" s="20" t="s">
        <v>197</v>
      </c>
      <c r="B12" s="23" t="n">
        <f aca="false">(Assumptions!$B$40+Assumptions!$B$41*60^2)*Assumptions!$B$44</f>
        <v>8320</v>
      </c>
      <c r="C12" s="23" t="n">
        <f aca="false">Assumptions!$B$23+Assumptions!$B$24*(Assumptions!$B$29+Assumptions!$B$30)/2</f>
        <v>240</v>
      </c>
      <c r="D12" s="11" t="n">
        <v>1500</v>
      </c>
      <c r="E12" s="24" t="n">
        <f aca="false">D12-C12</f>
        <v>1260</v>
      </c>
      <c r="F12" s="39" t="n">
        <f aca="false">IF(E12&lt;=0,"never",IF(B12=0,0,B12/E12))</f>
        <v>6.6031746031746</v>
      </c>
      <c r="G12" s="40" t="n">
        <f aca="false">IF(E12&lt;=0,"n/a",MAX(0,Assumptions!$B$5-ROUNDUP(IF(B12=0,0,B12/E12),0)))</f>
        <v>6</v>
      </c>
      <c r="H12" s="41" t="s">
        <v>198</v>
      </c>
    </row>
    <row r="13" customFormat="false" ht="15" hidden="false" customHeight="false" outlineLevel="0" collapsed="false">
      <c r="A13" s="20" t="s">
        <v>199</v>
      </c>
      <c r="B13" s="23" t="n">
        <f aca="false">(Assumptions!$B$40+Assumptions!$B$41*80^2)*Assumptions!$B$44</f>
        <v>14480</v>
      </c>
      <c r="C13" s="23" t="n">
        <f aca="false">Assumptions!$B$23+Assumptions!$B$24*(Assumptions!$B$29+Assumptions!$B$30)/2</f>
        <v>240</v>
      </c>
      <c r="D13" s="11" t="n">
        <v>3400</v>
      </c>
      <c r="E13" s="24" t="n">
        <f aca="false">D13-C13</f>
        <v>3160</v>
      </c>
      <c r="F13" s="39" t="n">
        <f aca="false">IF(E13&lt;=0,"never",IF(B13=0,0,B13/E13))</f>
        <v>4.58227848101266</v>
      </c>
      <c r="G13" s="40" t="n">
        <f aca="false">IF(E13&lt;=0,"n/a",MAX(0,Assumptions!$B$5-ROUNDUP(IF(B13=0,0,B13/E13),0)))</f>
        <v>8</v>
      </c>
      <c r="H13" s="41" t="s">
        <v>200</v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</row>
    <row r="15" customFormat="false" ht="15" hidden="false" customHeight="false" outlineLevel="0" collapsed="false">
      <c r="A15" s="8" t="s">
        <v>201</v>
      </c>
      <c r="B15" s="6"/>
      <c r="C15" s="6"/>
      <c r="D15" s="6"/>
      <c r="E15" s="6"/>
      <c r="F15" s="6"/>
      <c r="G15" s="6"/>
      <c r="H1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202</v>
      </c>
      <c r="B1" s="6"/>
      <c r="C1" s="6"/>
      <c r="D1" s="6"/>
      <c r="E1" s="6"/>
      <c r="F1" s="6"/>
    </row>
    <row r="2" customFormat="false" ht="15" hidden="false" customHeight="false" outlineLevel="0" collapsed="false">
      <c r="A2" s="8" t="s">
        <v>203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6"/>
      <c r="B3" s="6"/>
      <c r="C3" s="6"/>
      <c r="D3" s="6"/>
      <c r="E3" s="6"/>
      <c r="F3" s="6"/>
    </row>
    <row r="4" customFormat="false" ht="26.85" hidden="false" customHeight="false" outlineLevel="0" collapsed="false">
      <c r="A4" s="19" t="s">
        <v>204</v>
      </c>
      <c r="B4" s="19" t="s">
        <v>205</v>
      </c>
      <c r="C4" s="19" t="s">
        <v>206</v>
      </c>
      <c r="D4" s="19" t="s">
        <v>207</v>
      </c>
      <c r="E4" s="19" t="s">
        <v>208</v>
      </c>
      <c r="F4" s="19" t="s">
        <v>209</v>
      </c>
    </row>
    <row r="5" customFormat="false" ht="15" hidden="false" customHeight="false" outlineLevel="0" collapsed="false">
      <c r="A5" s="18" t="n">
        <v>0.03</v>
      </c>
      <c r="B5" s="42" t="n">
        <f aca="false">(1-Assumptions!$B$49)/A5</f>
        <v>28.3333333333333</v>
      </c>
      <c r="C5" s="24" t="n">
        <f aca="false">100*B5</f>
        <v>2833.33333333333</v>
      </c>
      <c r="D5" s="24" t="n">
        <f aca="false">A5*C5-100</f>
        <v>-15</v>
      </c>
      <c r="E5" s="24" t="n">
        <f aca="false">MIN(1,A5+0.1)*C5-100</f>
        <v>268.333333333333</v>
      </c>
      <c r="F5" s="41" t="s">
        <v>210</v>
      </c>
    </row>
    <row r="6" customFormat="false" ht="15" hidden="false" customHeight="false" outlineLevel="0" collapsed="false">
      <c r="A6" s="18" t="n">
        <v>0.05</v>
      </c>
      <c r="B6" s="42" t="n">
        <f aca="false">(1-Assumptions!$B$49)/A6</f>
        <v>17</v>
      </c>
      <c r="C6" s="24" t="n">
        <f aca="false">100*B6</f>
        <v>1700</v>
      </c>
      <c r="D6" s="24" t="n">
        <f aca="false">A6*C6-100</f>
        <v>-15</v>
      </c>
      <c r="E6" s="24" t="n">
        <f aca="false">MIN(1,A6+0.1)*C6-100</f>
        <v>155</v>
      </c>
      <c r="F6" s="41" t="s">
        <v>211</v>
      </c>
    </row>
    <row r="7" customFormat="false" ht="15" hidden="false" customHeight="false" outlineLevel="0" collapsed="false">
      <c r="A7" s="18" t="n">
        <v>0.08</v>
      </c>
      <c r="B7" s="42" t="n">
        <f aca="false">(1-Assumptions!$B$49)/A7</f>
        <v>10.625</v>
      </c>
      <c r="C7" s="24" t="n">
        <f aca="false">100*B7</f>
        <v>1062.5</v>
      </c>
      <c r="D7" s="24" t="n">
        <f aca="false">A7*C7-100</f>
        <v>-15</v>
      </c>
      <c r="E7" s="24" t="n">
        <f aca="false">MIN(1,A7+0.1)*C7-100</f>
        <v>91.25</v>
      </c>
      <c r="F7" s="41" t="s">
        <v>211</v>
      </c>
    </row>
    <row r="8" customFormat="false" ht="15" hidden="false" customHeight="false" outlineLevel="0" collapsed="false">
      <c r="A8" s="18" t="n">
        <v>0.1</v>
      </c>
      <c r="B8" s="42" t="n">
        <f aca="false">(1-Assumptions!$B$49)/A8</f>
        <v>8.5</v>
      </c>
      <c r="C8" s="24" t="n">
        <f aca="false">100*B8</f>
        <v>850</v>
      </c>
      <c r="D8" s="24" t="n">
        <f aca="false">A8*C8-100</f>
        <v>-15</v>
      </c>
      <c r="E8" s="24" t="n">
        <f aca="false">MIN(1,A8+0.1)*C8-100</f>
        <v>70</v>
      </c>
      <c r="F8" s="41" t="s">
        <v>212</v>
      </c>
    </row>
    <row r="9" customFormat="false" ht="15" hidden="false" customHeight="false" outlineLevel="0" collapsed="false">
      <c r="A9" s="18" t="n">
        <v>0.125</v>
      </c>
      <c r="B9" s="42" t="n">
        <f aca="false">(1-Assumptions!$B$49)/A9</f>
        <v>6.8</v>
      </c>
      <c r="C9" s="24" t="n">
        <f aca="false">100*B9</f>
        <v>680</v>
      </c>
      <c r="D9" s="24" t="n">
        <f aca="false">A9*C9-100</f>
        <v>-15</v>
      </c>
      <c r="E9" s="24" t="n">
        <f aca="false">MIN(1,A9+0.1)*C9-100</f>
        <v>53</v>
      </c>
      <c r="F9" s="41" t="s">
        <v>213</v>
      </c>
    </row>
    <row r="10" customFormat="false" ht="15" hidden="false" customHeight="false" outlineLevel="0" collapsed="false">
      <c r="A10" s="18" t="n">
        <v>0.15</v>
      </c>
      <c r="B10" s="42" t="n">
        <f aca="false">(1-Assumptions!$B$49)/A10</f>
        <v>5.66666666666667</v>
      </c>
      <c r="C10" s="24" t="n">
        <f aca="false">100*B10</f>
        <v>566.666666666667</v>
      </c>
      <c r="D10" s="24" t="n">
        <f aca="false">A10*C10-100</f>
        <v>-15</v>
      </c>
      <c r="E10" s="24" t="n">
        <f aca="false">MIN(1,A10+0.1)*C10-100</f>
        <v>41.6666666666667</v>
      </c>
      <c r="F10" s="41" t="s">
        <v>214</v>
      </c>
    </row>
    <row r="11" customFormat="false" ht="15" hidden="false" customHeight="false" outlineLevel="0" collapsed="false">
      <c r="A11" s="18" t="n">
        <v>0.2</v>
      </c>
      <c r="B11" s="42" t="n">
        <f aca="false">(1-Assumptions!$B$49)/A11</f>
        <v>4.25</v>
      </c>
      <c r="C11" s="24" t="n">
        <f aca="false">100*B11</f>
        <v>425</v>
      </c>
      <c r="D11" s="24" t="n">
        <f aca="false">A11*C11-100</f>
        <v>-15</v>
      </c>
      <c r="E11" s="24" t="n">
        <f aca="false">MIN(1,A11+0.1)*C11-100</f>
        <v>27.5</v>
      </c>
      <c r="F11" s="41" t="s">
        <v>214</v>
      </c>
    </row>
    <row r="12" customFormat="false" ht="15" hidden="false" customHeight="false" outlineLevel="0" collapsed="false">
      <c r="A12" s="18" t="n">
        <v>0.25</v>
      </c>
      <c r="B12" s="42" t="n">
        <f aca="false">(1-Assumptions!$B$49)/A12</f>
        <v>3.4</v>
      </c>
      <c r="C12" s="24" t="n">
        <f aca="false">100*B12</f>
        <v>340</v>
      </c>
      <c r="D12" s="24" t="n">
        <f aca="false">A12*C12-100</f>
        <v>-15</v>
      </c>
      <c r="E12" s="24" t="n">
        <f aca="false">MIN(1,A12+0.1)*C12-100</f>
        <v>19</v>
      </c>
      <c r="F12" s="41" t="s">
        <v>215</v>
      </c>
    </row>
    <row r="13" customFormat="false" ht="15" hidden="false" customHeight="false" outlineLevel="0" collapsed="false">
      <c r="A13" s="18" t="n">
        <v>0.3</v>
      </c>
      <c r="B13" s="42" t="n">
        <f aca="false">(1-Assumptions!$B$49)/A13</f>
        <v>2.83333333333333</v>
      </c>
      <c r="C13" s="24" t="n">
        <f aca="false">100*B13</f>
        <v>283.333333333333</v>
      </c>
      <c r="D13" s="24" t="n">
        <f aca="false">A13*C13-100</f>
        <v>-15</v>
      </c>
      <c r="E13" s="24" t="n">
        <f aca="false">MIN(1,A13+0.1)*C13-100</f>
        <v>13.3333333333334</v>
      </c>
      <c r="F13" s="41" t="s">
        <v>215</v>
      </c>
    </row>
    <row r="14" customFormat="false" ht="15" hidden="false" customHeight="false" outlineLevel="0" collapsed="false">
      <c r="A14" s="18" t="n">
        <v>0.4</v>
      </c>
      <c r="B14" s="42" t="n">
        <f aca="false">(1-Assumptions!$B$49)/A14</f>
        <v>2.125</v>
      </c>
      <c r="C14" s="24" t="n">
        <f aca="false">100*B14</f>
        <v>212.5</v>
      </c>
      <c r="D14" s="24" t="n">
        <f aca="false">A14*C14-100</f>
        <v>-15</v>
      </c>
      <c r="E14" s="24" t="n">
        <f aca="false">MIN(1,A14+0.1)*C14-100</f>
        <v>6.25</v>
      </c>
      <c r="F14" s="41" t="s">
        <v>216</v>
      </c>
    </row>
    <row r="15" customFormat="false" ht="15" hidden="false" customHeight="false" outlineLevel="0" collapsed="false">
      <c r="A15" s="18" t="n">
        <v>0.5</v>
      </c>
      <c r="B15" s="42" t="n">
        <f aca="false">(1-Assumptions!$B$49)/A15</f>
        <v>1.7</v>
      </c>
      <c r="C15" s="24" t="n">
        <f aca="false">100*B15</f>
        <v>170</v>
      </c>
      <c r="D15" s="24" t="n">
        <f aca="false">A15*C15-100</f>
        <v>-15</v>
      </c>
      <c r="E15" s="24" t="n">
        <f aca="false">MIN(1,A15+0.1)*C15-100</f>
        <v>2</v>
      </c>
      <c r="F15" s="41" t="s">
        <v>217</v>
      </c>
    </row>
    <row r="16" customFormat="false" ht="15" hidden="false" customHeight="false" outlineLevel="0" collapsed="false">
      <c r="A16" s="18" t="n">
        <v>0.6</v>
      </c>
      <c r="B16" s="42" t="n">
        <f aca="false">(1-Assumptions!$B$49)/A16</f>
        <v>1.41666666666667</v>
      </c>
      <c r="C16" s="24" t="n">
        <f aca="false">100*B16</f>
        <v>141.666666666667</v>
      </c>
      <c r="D16" s="24" t="n">
        <f aca="false">A16*C16-100</f>
        <v>-15</v>
      </c>
      <c r="E16" s="24" t="n">
        <f aca="false">MIN(1,A16+0.1)*C16-100</f>
        <v>-0.833333333333329</v>
      </c>
      <c r="F16" s="41" t="s">
        <v>218</v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</row>
    <row r="18" customFormat="false" ht="15" hidden="false" customHeight="false" outlineLevel="0" collapsed="false">
      <c r="A18" s="8" t="s">
        <v>219</v>
      </c>
      <c r="B18" s="6"/>
      <c r="C18" s="6"/>
      <c r="D18" s="6"/>
      <c r="E18" s="6"/>
      <c r="F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220</v>
      </c>
      <c r="B1" s="6"/>
      <c r="C1" s="6"/>
      <c r="D1" s="6"/>
      <c r="E1" s="6"/>
    </row>
    <row r="2" customFormat="false" ht="15" hidden="false" customHeight="false" outlineLevel="0" collapsed="false">
      <c r="A2" s="8" t="s">
        <v>221</v>
      </c>
      <c r="B2" s="6"/>
      <c r="C2" s="6"/>
      <c r="D2" s="6"/>
      <c r="E2" s="6"/>
    </row>
    <row r="3" customFormat="false" ht="15" hidden="false" customHeight="false" outlineLevel="0" collapsed="false">
      <c r="A3" s="6"/>
      <c r="B3" s="6"/>
      <c r="C3" s="6"/>
      <c r="D3" s="6"/>
      <c r="E3" s="6"/>
    </row>
    <row r="4" customFormat="false" ht="15" hidden="false" customHeight="false" outlineLevel="0" collapsed="false">
      <c r="A4" s="19" t="s">
        <v>222</v>
      </c>
      <c r="B4" s="19" t="s">
        <v>223</v>
      </c>
      <c r="C4" s="19" t="s">
        <v>224</v>
      </c>
      <c r="D4" s="19"/>
      <c r="E4" s="19"/>
    </row>
    <row r="5" customFormat="false" ht="15" hidden="false" customHeight="false" outlineLevel="0" collapsed="false">
      <c r="A5" s="32" t="s">
        <v>225</v>
      </c>
      <c r="B5" s="11" t="n">
        <v>38550</v>
      </c>
      <c r="C5" s="11" t="n">
        <v>31225</v>
      </c>
      <c r="D5" s="6"/>
      <c r="E5" s="6"/>
    </row>
    <row r="6" customFormat="false" ht="15" hidden="false" customHeight="false" outlineLevel="0" collapsed="false">
      <c r="A6" s="32" t="s">
        <v>226</v>
      </c>
      <c r="B6" s="11" t="n">
        <v>-530</v>
      </c>
      <c r="C6" s="11" t="n">
        <v>2270</v>
      </c>
      <c r="D6" s="6"/>
      <c r="E6" s="6"/>
    </row>
    <row r="7" customFormat="false" ht="15" hidden="false" customHeight="false" outlineLevel="0" collapsed="false">
      <c r="A7" s="32" t="s">
        <v>227</v>
      </c>
      <c r="B7" s="11" t="n">
        <v>89970</v>
      </c>
      <c r="C7" s="11" t="n">
        <v>66820</v>
      </c>
      <c r="D7" s="6"/>
      <c r="E7" s="6"/>
    </row>
    <row r="8" customFormat="false" ht="15" hidden="false" customHeight="false" outlineLevel="0" collapsed="false">
      <c r="A8" s="32" t="s">
        <v>228</v>
      </c>
      <c r="B8" s="11" t="n">
        <v>49580</v>
      </c>
      <c r="C8" s="11" t="n">
        <v>37055</v>
      </c>
      <c r="D8" s="6"/>
      <c r="E8" s="6"/>
    </row>
    <row r="9" customFormat="false" ht="15" hidden="false" customHeight="false" outlineLevel="0" collapsed="false">
      <c r="A9" s="32" t="s">
        <v>229</v>
      </c>
      <c r="B9" s="11" t="n">
        <v>17030</v>
      </c>
      <c r="C9" s="11" t="n">
        <v>11830</v>
      </c>
      <c r="D9" s="6"/>
      <c r="E9" s="6"/>
    </row>
    <row r="10" customFormat="false" ht="15" hidden="false" customHeight="false" outlineLevel="0" collapsed="false">
      <c r="A10" s="32" t="s">
        <v>230</v>
      </c>
      <c r="B10" s="11" t="n">
        <v>61547</v>
      </c>
      <c r="C10" s="11" t="n">
        <v>49977</v>
      </c>
      <c r="D10" s="6"/>
      <c r="E10" s="6"/>
    </row>
    <row r="11" customFormat="false" ht="15" hidden="false" customHeight="false" outlineLevel="0" collapsed="false">
      <c r="A11" s="6"/>
      <c r="B11" s="6"/>
      <c r="C11" s="6"/>
      <c r="D11" s="6"/>
      <c r="E11" s="6"/>
    </row>
    <row r="12" customFormat="false" ht="15" hidden="false" customHeight="false" outlineLevel="0" collapsed="false">
      <c r="A12" s="6"/>
      <c r="B12" s="6"/>
      <c r="C12" s="6"/>
      <c r="D12" s="6"/>
      <c r="E12" s="6"/>
    </row>
    <row r="13" customFormat="false" ht="15" hidden="false" customHeight="false" outlineLevel="0" collapsed="false">
      <c r="A13" s="3" t="s">
        <v>231</v>
      </c>
      <c r="B13" s="6"/>
      <c r="C13" s="6"/>
      <c r="D13" s="6"/>
      <c r="E13" s="6"/>
    </row>
    <row r="14" customFormat="false" ht="26.85" hidden="false" customHeight="false" outlineLevel="0" collapsed="false">
      <c r="A14" s="19" t="s">
        <v>232</v>
      </c>
      <c r="B14" s="19" t="s">
        <v>233</v>
      </c>
      <c r="C14" s="19" t="s">
        <v>234</v>
      </c>
      <c r="D14" s="6"/>
      <c r="E14" s="6"/>
    </row>
    <row r="15" customFormat="false" ht="15" hidden="false" customHeight="false" outlineLevel="0" collapsed="false">
      <c r="A15" s="21" t="n">
        <v>35</v>
      </c>
      <c r="B15" s="18" t="n">
        <v>0.01</v>
      </c>
      <c r="C15" s="39" t="n">
        <f aca="false">IF(B15=0,0,1/B15)</f>
        <v>100</v>
      </c>
      <c r="D15" s="6"/>
      <c r="E15" s="6"/>
    </row>
    <row r="16" customFormat="false" ht="15" hidden="false" customHeight="false" outlineLevel="0" collapsed="false">
      <c r="A16" s="21" t="n">
        <v>45</v>
      </c>
      <c r="B16" s="18" t="n">
        <v>0.06</v>
      </c>
      <c r="C16" s="39" t="n">
        <f aca="false">IF(B16=0,0,1/B16)</f>
        <v>16.6666666666667</v>
      </c>
      <c r="D16" s="6"/>
      <c r="E16" s="6"/>
    </row>
    <row r="17" customFormat="false" ht="15" hidden="false" customHeight="false" outlineLevel="0" collapsed="false">
      <c r="A17" s="21" t="n">
        <v>50</v>
      </c>
      <c r="B17" s="18" t="n">
        <v>0.12</v>
      </c>
      <c r="C17" s="39" t="n">
        <f aca="false">IF(B17=0,0,1/B17)</f>
        <v>8.33333333333333</v>
      </c>
      <c r="D17" s="6"/>
      <c r="E17" s="6"/>
    </row>
    <row r="18" customFormat="false" ht="15" hidden="false" customHeight="false" outlineLevel="0" collapsed="false">
      <c r="A18" s="21" t="n">
        <v>55</v>
      </c>
      <c r="B18" s="18" t="n">
        <v>0.24</v>
      </c>
      <c r="C18" s="39" t="n">
        <f aca="false">IF(B18=0,0,1/B18)</f>
        <v>4.16666666666667</v>
      </c>
      <c r="D18" s="6"/>
      <c r="E18" s="6"/>
    </row>
    <row r="19" customFormat="false" ht="15" hidden="false" customHeight="false" outlineLevel="0" collapsed="false">
      <c r="A19" s="21" t="n">
        <v>65</v>
      </c>
      <c r="B19" s="18" t="n">
        <v>0.59</v>
      </c>
      <c r="C19" s="39" t="n">
        <f aca="false">IF(B19=0,0,1/B19)</f>
        <v>1.69491525423729</v>
      </c>
      <c r="D19" s="6"/>
      <c r="E19" s="6"/>
    </row>
    <row r="20" customFormat="false" ht="15" hidden="false" customHeight="false" outlineLevel="0" collapsed="false">
      <c r="A20" s="21" t="n">
        <v>75</v>
      </c>
      <c r="B20" s="18" t="n">
        <v>0.91</v>
      </c>
      <c r="C20" s="39" t="n">
        <f aca="false">IF(B20=0,0,1/B20)</f>
        <v>1.0989010989011</v>
      </c>
      <c r="D20" s="6"/>
      <c r="E20" s="6"/>
    </row>
    <row r="21" customFormat="false" ht="15" hidden="false" customHeight="false" outlineLevel="0" collapsed="false">
      <c r="A21" s="6"/>
      <c r="B21" s="6"/>
      <c r="C21" s="6"/>
      <c r="D21" s="6"/>
      <c r="E21" s="6"/>
    </row>
    <row r="22" customFormat="false" ht="15" hidden="false" customHeight="false" outlineLevel="0" collapsed="false">
      <c r="A22" s="8" t="s">
        <v>235</v>
      </c>
      <c r="B22" s="6"/>
      <c r="C22" s="6"/>
      <c r="D22" s="6"/>
      <c r="E22" s="6"/>
    </row>
    <row r="23" customFormat="false" ht="15" hidden="false" customHeight="false" outlineLevel="0" collapsed="false">
      <c r="A23" s="8" t="s">
        <v>236</v>
      </c>
      <c r="B23" s="6"/>
      <c r="C23" s="6"/>
      <c r="D23" s="6"/>
      <c r="E23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2026-09-07T04:18:14Z</dcterms:created>
  <dc:creator>openpyxl</dc:creator>
  <dc:description/>
  <dc:language>en-US</dc:language>
  <cp:lastModifiedBy/>
  <dcterms:modified xsi:type="dcterms:W3CDTF">2026-09-07T04:18:14Z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